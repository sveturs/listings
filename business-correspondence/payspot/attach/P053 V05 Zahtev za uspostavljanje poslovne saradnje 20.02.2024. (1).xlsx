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8.113.99\ecommerce2\KLIJENTI\SVE TU PLATFORMA\"/>
    </mc:Choice>
  </mc:AlternateContent>
  <bookViews>
    <workbookView xWindow="0" yWindow="0" windowWidth="23040" windowHeight="9072"/>
  </bookViews>
  <sheets>
    <sheet name="Zahtev" sheetId="2" r:id="rId1"/>
    <sheet name="Dodatak za E-commerce" sheetId="9" r:id="rId2"/>
    <sheet name="Ostali zastupnici" sheetId="13" r:id="rId3"/>
    <sheet name="Pojmovi i informacije" sheetId="10" r:id="rId4"/>
    <sheet name="Radno" sheetId="3" state="hidden" r:id="rId5"/>
  </sheets>
  <externalReferences>
    <externalReference r:id="rId6"/>
    <externalReference r:id="rId7"/>
    <externalReference r:id="rId8"/>
  </externalReferences>
  <definedNames>
    <definedName name="Da">Radno!$H$2:$H$5</definedName>
    <definedName name="DaNe" localSheetId="1">[1]Radno!$E$2:$E$3</definedName>
    <definedName name="DaNe" localSheetId="3">[2]Radno!$E$2:$E$3</definedName>
    <definedName name="DaNe">Radno!$E$2:$E$3</definedName>
    <definedName name="Dokument" localSheetId="1">[1]Radno!$J$2:$J$3</definedName>
    <definedName name="Dokument" localSheetId="3">[2]Radno!$J$2:$J$3</definedName>
    <definedName name="Dokument">Radno!$J$2:$J$3</definedName>
    <definedName name="Funkcioner">Radno!$H$1:$H$3</definedName>
    <definedName name="Ne">Radno!$I$2</definedName>
    <definedName name="NeDa" localSheetId="1">[1]Radno!$H$1:$I$1</definedName>
    <definedName name="NeDa" localSheetId="3">[2]Radno!$H$1:$I$1</definedName>
    <definedName name="NeDa">Radno!$H$1:$I$1</definedName>
    <definedName name="Osnov">Radno!$A$2:$A$4</definedName>
    <definedName name="Osnovi" localSheetId="1">[1]Radno!$A$2:$A$5</definedName>
    <definedName name="Osnovi" localSheetId="3">[2]Radno!$A$2:$A$5</definedName>
    <definedName name="Osnovi">Radno!$A$2:$A$10</definedName>
    <definedName name="Pečat" localSheetId="1">[1]Radno!$C$2:$C$3</definedName>
    <definedName name="Pečat" localSheetId="3">[2]Radno!$C$2:$C$3</definedName>
    <definedName name="Pečat">Radno!$C$2:$C$3</definedName>
    <definedName name="_xlnm.Print_Area" localSheetId="1">'Dodatak za E-commerce'!$A$1:$I$39</definedName>
    <definedName name="_xlnm.Print_Area" localSheetId="0">Zahtev!$A$2:$F$47</definedName>
    <definedName name="Vlasnici">Radno!$A$13:$A$16</definedName>
    <definedName name="Vlasnik" localSheetId="1">[3]Radno!$A$9:$A$11</definedName>
    <definedName name="Vlasnik" localSheetId="3">[2]Radno!$A$9:$A$11</definedName>
    <definedName name="Vlasnik">Radno!$A$14:$A$16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4" i="2" l="1"/>
  <c r="A50" i="2" l="1"/>
  <c r="A51" i="2" s="1"/>
  <c r="A45" i="2"/>
  <c r="D45" i="2"/>
  <c r="E45" i="2"/>
  <c r="C45" i="2"/>
  <c r="B45" i="2"/>
  <c r="F45" i="2"/>
  <c r="E56" i="2" l="1"/>
  <c r="D68" i="2" s="1"/>
  <c r="A57" i="2"/>
  <c r="A58" i="2" s="1"/>
  <c r="A65" i="2" l="1"/>
  <c r="A66" i="2" s="1"/>
</calcChain>
</file>

<file path=xl/sharedStrings.xml><?xml version="1.0" encoding="utf-8"?>
<sst xmlns="http://schemas.openxmlformats.org/spreadsheetml/2006/main" count="159" uniqueCount="131">
  <si>
    <t>Pun naziv podnosioca zahteva</t>
  </si>
  <si>
    <t>Skraćeni naziv</t>
  </si>
  <si>
    <t>Mesto, sedište i adresa</t>
  </si>
  <si>
    <t>Matični broj/PIB</t>
  </si>
  <si>
    <t>Šifra pretežne delatnosti</t>
  </si>
  <si>
    <t>Kontakt osobe</t>
  </si>
  <si>
    <t>Web adresa</t>
  </si>
  <si>
    <t>Svrha i namena uspostavljanja poslovnog odnosa</t>
  </si>
  <si>
    <t>Navedite region/zemlje gde obavljate svoje poslovanje</t>
  </si>
  <si>
    <t>Da li je fizičko lice, stvarni vlasnik podnosioca zahteva (direktno ili indirektno preko drugog pravnog lica) i/ili zakonski zastupnik, i/ili  prokurista i/ili punomoćnik podnosioca zahteva, funkcioner/član uže porodice funkcionera/uži saradnik funkcionera? *</t>
  </si>
  <si>
    <t>Da li u vlasničkoj strukturi klijenta postoji pravno lica registrovano na offshore destinaciji, fondacija ili Trast</t>
  </si>
  <si>
    <t>Ukoliko je pravno lica listirano na berzi navesti ime berze i identifikacioni broj</t>
  </si>
  <si>
    <t>Predaja pazara</t>
  </si>
  <si>
    <t>Zastupnik</t>
  </si>
  <si>
    <t>Ostalo</t>
  </si>
  <si>
    <t>Koristi pečat</t>
  </si>
  <si>
    <t>Ne koristi pečat</t>
  </si>
  <si>
    <t>Da</t>
  </si>
  <si>
    <t>Ne</t>
  </si>
  <si>
    <t>Pečat</t>
  </si>
  <si>
    <t>Osnovi</t>
  </si>
  <si>
    <t>DaNe</t>
  </si>
  <si>
    <t>Funkcioner RS</t>
  </si>
  <si>
    <t>Funkcioner druge države/međunarodne organizacije</t>
  </si>
  <si>
    <t>Navesti očekivani promet u RSD (mesečno)</t>
  </si>
  <si>
    <t>ZAHTEV ZA USPOSTAVLJANJE POSLOVNE SARADNJE</t>
  </si>
  <si>
    <t>Lična karta</t>
  </si>
  <si>
    <t>Pasoš</t>
  </si>
  <si>
    <t>Dokument</t>
  </si>
  <si>
    <t>PayPerLink</t>
  </si>
  <si>
    <t>Bliski saradnik funkcionera</t>
  </si>
  <si>
    <t>Srodnik funkcionera</t>
  </si>
  <si>
    <t>Izabrati iz padajućeg menija</t>
  </si>
  <si>
    <t>Vlasnici</t>
  </si>
  <si>
    <t>Fizička lica</t>
  </si>
  <si>
    <t>Pravna lica</t>
  </si>
  <si>
    <t>Fizička i pravna lica</t>
  </si>
  <si>
    <t>Lica koja se javljaju u vlasničkoj strukturi</t>
  </si>
  <si>
    <t>P053 V05</t>
  </si>
  <si>
    <t xml:space="preserve">  Označite vrstu e-commerce usluge:              </t>
  </si>
  <si>
    <t xml:space="preserve">              INTERNET PLATFORMA </t>
  </si>
  <si>
    <t xml:space="preserve">              INTERNET PRODAJNO MESTO </t>
  </si>
  <si>
    <t>Navesti internet adresu prodajnog mesta (URL)</t>
  </si>
  <si>
    <t>Da li klijent poseduje maloprodajne objekte / njihov broj</t>
  </si>
  <si>
    <t>Koliko korisnika vaših usluga su stranci? (%)</t>
  </si>
  <si>
    <t>Prosečan iznos transakcije na internetu</t>
  </si>
  <si>
    <t>Prosečan dnevni promet na internetu</t>
  </si>
  <si>
    <t>Ukupan promet preko računa u poslednja 3 meseca</t>
  </si>
  <si>
    <t>Učešće kartičnog plaćanja u ukupnom prometu</t>
  </si>
  <si>
    <t>Opis robe koja će se prodavati putem interneta</t>
  </si>
  <si>
    <t>Način dostave robe kupcima</t>
  </si>
  <si>
    <t>Očekivani promet za narednu godinu</t>
  </si>
  <si>
    <t>Iznos najjeftinijeg artikla/robe/usluge</t>
  </si>
  <si>
    <t>Iznos najskupljeg artikla/robe /usluge</t>
  </si>
  <si>
    <t>Da li prodajete robu sa odloženim rokom isporuke?</t>
  </si>
  <si>
    <t>Broj dana od trenutka plaćanja do trenutka isporuke robe</t>
  </si>
  <si>
    <t>Da li ste imali reklamacije korisnika?</t>
  </si>
  <si>
    <t>Broj reklamacija mesečno/godišnje</t>
  </si>
  <si>
    <t xml:space="preserve">Opišite ukratko svoj poslovni model </t>
  </si>
  <si>
    <t>P053a V02</t>
  </si>
  <si>
    <t>E-commerce</t>
  </si>
  <si>
    <t>POS Terminali</t>
  </si>
  <si>
    <t>Predaja pazara+POS Terminali</t>
  </si>
  <si>
    <t>E-commerce+POS Terminali</t>
  </si>
  <si>
    <t>PayperLink+POS Terminali</t>
  </si>
  <si>
    <t>*U prilogu je definicija pojma stvarnog vlasnika i funkcioner
**Potpisivanjem ovog zahteva dajem saglasnost Instituciji da komunikaciju sa mnom (informacije, instrukcije,obaveštenja u vezi sa proizvodom odobrenim na osnovu ovog zahteva i zaključenim ugovorom/proizvodom) vrši elektronski - putem i-mejl adrese iz ovog zahteva</t>
  </si>
  <si>
    <t>INFORMACIJE ZA PODNOSIOCA ZAHTEVA</t>
  </si>
  <si>
    <t xml:space="preserve">Podaci koje Institucija prikuplja posredstvom ovog obrasca imaju za svrhu upoznavanje klijenta, a u vidu obaveza propisanih Zakonom o sprečavanju pranja novca i finansiranja terorizma, ostalom zakonskom regulativom Republike Srbije, kao i aktima Institucije. </t>
  </si>
  <si>
    <t>Klijent je u obavezi da na zahtev Institucije dostavi sve neophodne važeće informacije, a kako bi se omogućilo najmanje sledeće:</t>
  </si>
  <si>
    <t>a sve u cilju omogućavanja Instituciji da redovno prati poslovanje i proverava usklađenost aktivnosti klijenta sa prirodom poslovnog odnosa i svojim uobičajenim obimom i vrstom poslovanja.</t>
  </si>
  <si>
    <t xml:space="preserve">Ukoliko Institucija nije u mogućnosti da izvrši gorenavedene radnje i mere poznavanja i praćenja klijenta, poslovni odnos se ne sme uspostaviti, a ukoliko je poslovni odnos već uspostavljen, isti se mora raskinuti. </t>
  </si>
  <si>
    <t>Institucija zadržava pravo da zatraži dodatne informacije i dokumentaciju pre i tokom trajanja poslovnog odnosa.</t>
  </si>
  <si>
    <t>Korisnik je upoznat sa obavezom da o statusnoj i drugoj promeni obavesti Instituciju.</t>
  </si>
  <si>
    <t>Potpisom na ovom Zahtevu potvrđujete da su navedeni podaci tačni i ovlašćujete Instituciju da proveri njihovu istinitost. Takođe se obavezujete da bez odlaganja obavestite Instituciju o svakoj promeni datih podataka. Potpisom ovog upitnika dajete pristanak za obradu svih podataka o ličnosti navedenih u ovom zahtevu/prilogu, uključujući i naročito osetljive podatke. Ovaj pristanak važi do opoziva.</t>
  </si>
  <si>
    <t>Zahtev u ime Korisnika rezidenta pravnog lica zaključuje zakonski zastupnik, lice koje je ovlašćeno za zastupanje (ostali zastupnik), odnosno drugo lice koje je aktom nadležnog organa Korisnika ovlašćeno za zaključenje ovog pravnog posla, dok Zahtev u ime Korisnika preduzetnika zaključuje sam preduzetnik, odnosno drugo lice u skladu sa propisima ili ovlašćenjem izdatim od strane preduzetnika za zaključenje pravnog posla.</t>
  </si>
  <si>
    <t>Zahtev potpisuje lica ovlašćenog za zastupanje pravnog  lica/preduzetnika  lično ispred zaposlenog u Instituciji, a nakon prethodne identifikacije.</t>
  </si>
  <si>
    <t>Potpisom na Zahtevu Korisnik potvrđuje da je upoznat sa Opštim uslovima poslovanja Institucije, Tarifom naknada i Terminskim planom Institucije.</t>
  </si>
  <si>
    <r>
      <t>-</t>
    </r>
    <r>
      <rPr>
        <sz val="7"/>
        <rFont val="Calibri"/>
        <family val="2"/>
      </rPr>
      <t xml:space="preserve">         </t>
    </r>
    <r>
      <rPr>
        <sz val="10"/>
        <rFont val="Calibri"/>
        <family val="2"/>
      </rPr>
      <t xml:space="preserve">pribavljanje i procena verodostojnosti informacija o svrsi i nameni poslovnog odnosa ili transakcije, </t>
    </r>
  </si>
  <si>
    <r>
      <t>-</t>
    </r>
    <r>
      <rPr>
        <sz val="7"/>
        <rFont val="Calibri"/>
        <family val="2"/>
      </rPr>
      <t xml:space="preserve">         </t>
    </r>
    <r>
      <rPr>
        <sz val="10"/>
        <rFont val="Calibri"/>
        <family val="2"/>
      </rPr>
      <t xml:space="preserve">pribavljanje i procena verodostojnosti informacija o poreklu imovine koja je ili će biti predmet poslovnog odnosa, odnosno transakcije, </t>
    </r>
  </si>
  <si>
    <t>PODACI O POSLOVANJU PODNOSIOCA ZAHTEVA</t>
  </si>
  <si>
    <t>PRILOG ZA E COMMERCE</t>
  </si>
  <si>
    <t>Mesečno</t>
  </si>
  <si>
    <t>Godišnje</t>
  </si>
  <si>
    <t>Ime i prezime ovlašćenog lica za zastupanje</t>
  </si>
  <si>
    <t>Izabrati iz padajućeg menija ukoliko je odgovor na prethodno pitanje "Da"</t>
  </si>
  <si>
    <t>Datum i mesto rođenja ovlašćenog lica za zastupanje</t>
  </si>
  <si>
    <t>Datum i mesto izdavanja ličnog dokumenta ovlašćenog lica za zastupanje</t>
  </si>
  <si>
    <t>Broj računa u poslovnoj banci/naziv banke</t>
  </si>
  <si>
    <t>Opisati oblast poslovanja zbog koje se uspostavlja saradnja sa Institucijom</t>
  </si>
  <si>
    <t>U svom poslovanju u skladu sa odlukama nadležnih organa kojim je regulisana upotreba pečata, navesti da li podnosioc zahteva koristi pečat</t>
  </si>
  <si>
    <t xml:space="preserve"> Ime i prezime kontakt lica za e commerce</t>
  </si>
  <si>
    <t xml:space="preserve"> Kontakt telefon odgovornog lica za e commerce</t>
  </si>
  <si>
    <t xml:space="preserve"> E-mail adresa za e commerce</t>
  </si>
  <si>
    <t>Broj telefona (fiksni/mobilni)**</t>
  </si>
  <si>
    <t>E mail adresa**</t>
  </si>
  <si>
    <t>Da li se pored pretežne delatnosti preduzeće bavim i drugim delatnosti</t>
  </si>
  <si>
    <t>Podaci o ostalim zastupnicima</t>
  </si>
  <si>
    <t>Ime i prezime zastupnika</t>
  </si>
  <si>
    <t>Datum i mesto rođenja</t>
  </si>
  <si>
    <t>Vrsta ličnog dokumenta i broj</t>
  </si>
  <si>
    <t xml:space="preserve">Datum i mesto izdavanja ličnog dokumenta </t>
  </si>
  <si>
    <t>Boravište/Prebivalište</t>
  </si>
  <si>
    <t>I OSNOVNI PODACI O PODNOSIOCU ZAHTEVA</t>
  </si>
  <si>
    <t>II POSLOVNI ODNOS</t>
  </si>
  <si>
    <t>III VLASNIČKA STRUKTURA</t>
  </si>
  <si>
    <t>Svojim potpisom na prvoj strani Zahteva potvrđujem  tačnost navedenih podataka kao i podataka navedenim u ovom Prilogu.</t>
  </si>
  <si>
    <t>Vrsta i broj ličnog dokumenta ovlašćenog lica za zastupanje</t>
  </si>
  <si>
    <r>
      <t>-</t>
    </r>
    <r>
      <rPr>
        <sz val="7"/>
        <rFont val="Calibri"/>
        <family val="2"/>
      </rPr>
      <t xml:space="preserve">         </t>
    </r>
    <r>
      <rPr>
        <sz val="10"/>
        <rFont val="Calibri"/>
        <family val="2"/>
      </rPr>
      <t xml:space="preserve">utvrđivanje i procena identiteta klijenta i njegovog stvarnog vlasnika </t>
    </r>
    <r>
      <rPr>
        <sz val="10"/>
        <rFont val="Calibri"/>
        <family val="2"/>
      </rPr>
      <t xml:space="preserve"> </t>
    </r>
  </si>
  <si>
    <r>
      <t xml:space="preserve">                                                                                   </t>
    </r>
    <r>
      <rPr>
        <b/>
        <sz val="11"/>
        <color theme="1"/>
        <rFont val="Calibri"/>
        <family val="2"/>
        <scheme val="minor"/>
      </rPr>
      <t>POJMOVI</t>
    </r>
    <r>
      <rPr>
        <sz val="11"/>
        <color theme="1"/>
        <rFont val="Calibri"/>
        <family val="2"/>
        <charset val="238"/>
        <scheme val="minor"/>
      </rPr>
      <t xml:space="preserve">
1.</t>
    </r>
    <r>
      <rPr>
        <b/>
        <sz val="11"/>
        <color theme="1"/>
        <rFont val="Calibri"/>
        <family val="2"/>
        <scheme val="minor"/>
      </rPr>
      <t>Trast</t>
    </r>
    <r>
      <rPr>
        <sz val="11"/>
        <color theme="1"/>
        <rFont val="Calibri"/>
        <family val="2"/>
        <charset val="238"/>
        <scheme val="minor"/>
      </rPr>
      <t xml:space="preserve"> je lice stranog prava koje jedno lice, osnivač (settlor, trustor) uspostavlja za života ili po smrti, a koje poverava imovinu na raspolaganje i upravljanje povereniku (trustee) u korist korisnika (beneficiary) ili u neku posebno naznačenu svrhu. Pravo svojine na imovini trasta ima poverenik koji imovinu drži, koristi i njome raspolaže u korist korisnika ili osnivača, a u skladu sa uslovima trasta. Ugovorom o trastu se obavljanje određenih poslova može poveriti i zaštitniku (trust protector). 
2.</t>
    </r>
    <r>
      <rPr>
        <b/>
        <sz val="11"/>
        <color theme="1"/>
        <rFont val="Calibri"/>
        <family val="2"/>
        <scheme val="minor"/>
      </rPr>
      <t xml:space="preserve">	Funkcioner</t>
    </r>
    <r>
      <rPr>
        <sz val="11"/>
        <color theme="1"/>
        <rFont val="Calibri"/>
        <family val="2"/>
        <charset val="238"/>
        <scheme val="minor"/>
      </rPr>
      <t xml:space="preserve"> podrazumeva funkcionera druge države, funkcionera međunarodne organizacije i funkcionera Republike Srbije.
a)	</t>
    </r>
    <r>
      <rPr>
        <b/>
        <sz val="11"/>
        <color theme="1"/>
        <rFont val="Calibri"/>
        <family val="2"/>
        <scheme val="minor"/>
      </rPr>
      <t>Funkcioner druge države</t>
    </r>
    <r>
      <rPr>
        <sz val="11"/>
        <color theme="1"/>
        <rFont val="Calibri"/>
        <family val="2"/>
        <charset val="238"/>
        <scheme val="minor"/>
      </rPr>
      <t xml:space="preserve"> je fizičko lice koje obavlja ili je u poslednje četiri godine obavljalo visoku javnu funkciju u drugoj državi i to:
-	šef države i/ili vlade, član vlade i njegov zamenik,
-	izabrani predstavnik zakonodavnog tela,
-	sudija vrhovnog i ustavnog suda ili drugog sudskog organa na visokom nivou, protiv čije presude, osim u izuzetnim slučajevima, nije moguće koristiti redovni ili vanredni pravni lek,
-	član računskog suda, odnosno vrhovne revizorske institucije i članovi organa upravljanja centralne banke,
-	ambasador, otpravnik poslova i visoki oficir oružanih snaga,
-	član upravnog i nadzornog organa pravnog lica koje je u većinskom vlasništvu strane države,
-	član organa upravljanja političke stranke;
b)</t>
    </r>
    <r>
      <rPr>
        <b/>
        <sz val="11"/>
        <color theme="1"/>
        <rFont val="Calibri"/>
        <family val="2"/>
        <scheme val="minor"/>
      </rPr>
      <t xml:space="preserve">	Funkcioner međunarodne organizacije</t>
    </r>
    <r>
      <rPr>
        <sz val="11"/>
        <color theme="1"/>
        <rFont val="Calibri"/>
        <family val="2"/>
        <charset val="238"/>
        <scheme val="minor"/>
      </rPr>
      <t xml:space="preserve"> je fizičko lice koje obavlja ili je u poslednje četiri godine obavljalo visoku javnu funkciju u međunarodnoj organizaciji, kao što je: direktor, zamenik direktora, član organa upravljanja ili drugu ekvivalentnu funkciju u međunarodnoj organizaciji (primeri: Evropska unija (EU), Savet Evrope, Ujedinjene nacije (UN), Međunarodni monetarni fond (MMF/IMF), Organizacija za evropsku bezbednost i saradnju (OEBS/OSCE), Organizacija za ekonomsku saradnju i razvoj (OECD), Organizacija severnoatlanstkog sporazuma (NATO), Organizacija zemalja izvoznika nafte (OPEC), Svetska trgovinska organizacija (WTO), Azijsko-pacifički ekonoski forum (APEC), Afrička unija (AU), itd);
c)	</t>
    </r>
    <r>
      <rPr>
        <b/>
        <sz val="11"/>
        <color theme="1"/>
        <rFont val="Calibri"/>
        <family val="2"/>
        <scheme val="minor"/>
      </rPr>
      <t>Funkcioner Republike Srbije</t>
    </r>
    <r>
      <rPr>
        <sz val="11"/>
        <color theme="1"/>
        <rFont val="Calibri"/>
        <family val="2"/>
        <charset val="238"/>
        <scheme val="minor"/>
      </rPr>
      <t xml:space="preserve"> je fizičko lice koje obavlja ili je u poslednje četiri godine obavljalo visoku javnu funkciju u zemlji i to:
-	predsednik države, predsednik Vlade, ministar, državni sekretar, posebni savetnik ministra, pomoćnik ministra, sekretar ministarstva, direktor organa u sastavu ministarstva i njegovi pomoćnici, i direktor posebne organizacije, kao i njegov zamenik i njegovi pomoćnici,
-	narodni poslanik,
-	sudije Vrhovnog kasacionog, Privrednog apelacionog i Ustavnog suda,
-	predsednik, potpredsednik i član saveta Državne revizorske institucije,
-	guverner, viceguverner, član izvršnog odbora i član Saveta guvernera Narodne banke Srbije,
-	lice na visokom položaju u diplomatsko-konzularnim predstavništvima (ambasador, generalni konzul, otpravnik poslova),
-	član organa upravljanja u javnom preduzeću ili privrednom društvu u većinskom vlasništvu države,
-	član organa upravljanja političke stranke;
3.	</t>
    </r>
    <r>
      <rPr>
        <b/>
        <sz val="11"/>
        <color theme="1"/>
        <rFont val="Calibri"/>
        <family val="2"/>
        <scheme val="minor"/>
      </rPr>
      <t>Bliži saradnik funkcioner</t>
    </r>
    <r>
      <rPr>
        <sz val="11"/>
        <color theme="1"/>
        <rFont val="Calibri"/>
        <family val="2"/>
        <charset val="238"/>
        <scheme val="minor"/>
      </rPr>
      <t xml:space="preserve">a jeste fizičko lice koje ostvaruje zajedničku dobit iz imovine ili uspostavljenog poslovnog odnosa ili ima bilo koje druge bliske poslovne odnose sa funkcionerom (npr. fizičko lice koje je formalni vlasnik pravnog lica ili lica stranog prava, a stvarnu dobit ostvaruje funkcioner). 
4.	</t>
    </r>
    <r>
      <rPr>
        <b/>
        <sz val="11"/>
        <color theme="1"/>
        <rFont val="Calibri"/>
        <family val="2"/>
        <scheme val="minor"/>
      </rPr>
      <t>Član uže porodice funkcionera</t>
    </r>
    <r>
      <rPr>
        <sz val="11"/>
        <color theme="1"/>
        <rFont val="Calibri"/>
        <family val="2"/>
        <charset val="238"/>
        <scheme val="minor"/>
      </rPr>
      <t xml:space="preserve">: bračni ili vanbračni partner, roditelji, braća i sestre, deca, usvojena deca i pastorčad i njihovi bračni ili vanbračni partneri.
5.	</t>
    </r>
    <r>
      <rPr>
        <b/>
        <sz val="11"/>
        <color theme="1"/>
        <rFont val="Calibri"/>
        <family val="2"/>
        <scheme val="minor"/>
      </rPr>
      <t>Stvarni vlasnik</t>
    </r>
    <r>
      <rPr>
        <sz val="11"/>
        <color theme="1"/>
        <rFont val="Calibri"/>
        <family val="2"/>
        <charset val="238"/>
        <scheme val="minor"/>
      </rPr>
      <t xml:space="preserve">: fizičko lice koje posredno ili neposredno ima u svojini ili kontroliše klijenta;
</t>
    </r>
    <r>
      <rPr>
        <b/>
        <sz val="11"/>
        <color theme="1"/>
        <rFont val="Calibri"/>
        <family val="2"/>
        <scheme val="minor"/>
      </rPr>
      <t>Stvarni vlasnik privrednog društva</t>
    </r>
    <r>
      <rPr>
        <sz val="11"/>
        <color theme="1"/>
        <rFont val="Calibri"/>
        <family val="2"/>
        <charset val="238"/>
        <scheme val="minor"/>
      </rPr>
      <t xml:space="preserve">, odnosno drugog pravnog lica jeste:
(i)	fizičko lice koje je neposredno ili posredno imalac 25% ili više poslovnog udela, akcija, prava glasa ili drugih prava, na osnovu kojih učestvuje u upravljanju pravnim licem, odnosno učestvuje u kapitalu pravnog lica sa 25% ili više udela, odnosno fizičko lice koje posredno ili neposredno ima preovlađujući uticaj na vođenje poslova i donošenje odluka;
(ii)	 fizičko lice koje privrednom društvu posredno obezbedi ili obezbeđuje sredstva i po tom osnovu ima pravo da bitno utiče na donošenje odluka organa upravljanja privrednim društvom prilikom odlučivanja o finansiranju i poslovanju;
</t>
    </r>
    <r>
      <rPr>
        <b/>
        <sz val="11"/>
        <color theme="1"/>
        <rFont val="Calibri"/>
        <family val="2"/>
        <scheme val="minor"/>
      </rPr>
      <t>Stvarni vlasnik trasta</t>
    </r>
    <r>
      <rPr>
        <sz val="11"/>
        <color theme="1"/>
        <rFont val="Calibri"/>
        <family val="2"/>
        <charset val="238"/>
        <scheme val="minor"/>
      </rPr>
      <t xml:space="preserve"> je osnivač, poverenik, zaštitnik, korisnik ako je određen, kao i lice koje ima dominantan položaj u upravljanju trastom.</t>
    </r>
  </si>
  <si>
    <t xml:space="preserve">Da li ima više ovlašćenih lica za zastupanje (ukoliko ima uneti podatke o ostalim zastupnicima u poseban prilog) </t>
  </si>
  <si>
    <t>112306187</t>
  </si>
  <si>
    <t>NE</t>
  </si>
  <si>
    <t>Srbija</t>
  </si>
  <si>
    <t xml:space="preserve">SVE TU PLATFROMA DOO NOVI SAD </t>
  </si>
  <si>
    <t>21891975</t>
  </si>
  <si>
    <t>SVE TU PLATFROMA DOO</t>
  </si>
  <si>
    <t>Vase Stajića 18/18</t>
  </si>
  <si>
    <t>Dmitrii Voroshilov</t>
  </si>
  <si>
    <t>SVE TU PLATFORMA se integriše sa PG AllSecure koji im omogućava plaćanje platnim karticama, a Institucija vrši raspodelu novčanih sredstava(split) u skladu sa instrukcijama.</t>
  </si>
  <si>
    <t xml:space="preserve">Klijent poseduje Market place rešenje na kome se oglašavaju registrovana pravna lica koja prodaju robu iz različitih kategorija: elektronika, odeća, nameštaj... Takođe mogu da nude svoje usluge: popravke, dostave, edukacija... </t>
  </si>
  <si>
    <t xml:space="preserve">Popunite stvarne vlasnike </t>
  </si>
  <si>
    <t>Ime i prezime</t>
  </si>
  <si>
    <t>Adresa i mesto prebivališta</t>
  </si>
  <si>
    <t>Datum rođenja</t>
  </si>
  <si>
    <t>Državljanstvo</t>
  </si>
  <si>
    <t>Vlasnički udeo</t>
  </si>
  <si>
    <t>Funkcija</t>
  </si>
  <si>
    <t>Azamat Salakhov</t>
  </si>
  <si>
    <t>Stvarni Vlasnik</t>
  </si>
  <si>
    <t>Stvarni vlasnik, zakonski zastupnik</t>
  </si>
  <si>
    <t>6399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</si>
</sst>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 &quot;RSD&quot;_-;\-* #,##0\ &quot;RSD&quot;_-;_-* &quot;-&quot;\ &quot;RSD&quot;_-;_-@_-"/>
    <numFmt numFmtId="165" formatCode="dd/mm/yyyy;@"/>
  </numFmts>
  <fonts count="17" x14ac:knownFonts="1">
    <font>
      <sz val="11"/>
      <color theme="1"/>
      <name val="Calibri"/>
      <family val="2"/>
      <charset val="238"/>
      <scheme val="minor"/>
    </font>
    <font>
      <sz val="10"/>
      <color rgb="FF1F1F1F"/>
      <name val="Calibri"/>
      <family val="2"/>
      <scheme val="minor"/>
    </font>
    <font>
      <sz val="9"/>
      <color rgb="FF1F1F1F"/>
      <name val="Calibri"/>
      <family val="2"/>
      <scheme val="minor"/>
    </font>
    <font>
      <sz val="9"/>
      <color rgb="FF000000"/>
      <name val="Calibri"/>
      <family val="2"/>
      <scheme val="minor"/>
    </font>
    <font>
      <b/>
      <sz val="14"/>
      <color rgb="FF0070C0"/>
      <name val="Calibri"/>
      <family val="2"/>
      <scheme val="minor"/>
    </font>
    <font>
      <sz val="8"/>
      <color theme="1"/>
      <name val="Calibri"/>
      <family val="2"/>
      <charset val="238"/>
      <scheme val="minor"/>
    </font>
    <font>
      <u/>
      <sz val="11"/>
      <color theme="10"/>
      <name val="Calibri"/>
      <family val="2"/>
      <charset val="238"/>
      <scheme val="minor"/>
    </font>
    <font>
      <b/>
      <sz val="11"/>
      <color theme="1"/>
      <name val="Calibri"/>
      <family val="2"/>
      <scheme val="minor"/>
    </font>
    <font>
      <sz val="11"/>
      <color theme="0" tint="-0.34998626667073579"/>
      <name val="Calibri"/>
      <family val="2"/>
      <charset val="238"/>
      <scheme val="minor"/>
    </font>
    <font>
      <b/>
      <sz val="11"/>
      <name val="Calibri"/>
      <family val="2"/>
      <scheme val="minor"/>
    </font>
    <font>
      <sz val="11"/>
      <name val="Arial"/>
      <family val="2"/>
    </font>
    <font>
      <sz val="11"/>
      <color rgb="FF1F1F1F"/>
      <name val="Calibri"/>
      <family val="2"/>
      <scheme val="minor"/>
    </font>
    <font>
      <sz val="11"/>
      <name val="Calibri"/>
      <family val="2"/>
      <scheme val="minor"/>
    </font>
    <font>
      <sz val="10"/>
      <name val="Calibri"/>
      <family val="2"/>
    </font>
    <font>
      <sz val="7"/>
      <name val="Calibri"/>
      <family val="2"/>
    </font>
    <font>
      <i/>
      <sz val="10"/>
      <color rgb="FF000000"/>
      <name val="Arial"/>
      <family val="2"/>
    </font>
    <font>
      <sz val="10"/>
      <color theme="1"/>
      <name val="Calibri"/>
      <family val="2"/>
      <charset val="238"/>
      <scheme val="minor"/>
    </font>
  </fonts>
  <fills count="8">
    <fill>
      <patternFill patternType="none"/>
    </fill>
    <fill>
      <patternFill patternType="gray125"/>
    </fill>
    <fill>
      <patternFill patternType="solid">
        <fgColor indexed="65"/>
        <bgColor theme="0"/>
      </patternFill>
    </fill>
    <fill>
      <patternFill patternType="solid">
        <fgColor theme="4" tint="0.39997558519241921"/>
        <bgColor theme="0"/>
      </patternFill>
    </fill>
    <fill>
      <patternFill patternType="solid">
        <fgColor rgb="FFDBE5F1"/>
        <bgColor theme="0"/>
      </patternFill>
    </fill>
    <fill>
      <patternFill patternType="solid">
        <fgColor theme="4" tint="0.79998168889431442"/>
        <bgColor theme="0"/>
      </patternFill>
    </fill>
    <fill>
      <patternFill patternType="solid">
        <fgColor theme="0"/>
        <bgColor theme="0"/>
      </patternFill>
    </fill>
    <fill>
      <patternFill patternType="solid">
        <fgColor theme="0"/>
        <bgColor indexed="64"/>
      </patternFill>
    </fill>
  </fills>
  <borders count="38">
    <border>
      <left/>
      <right/>
      <top/>
      <bottom/>
      <diagonal/>
    </border>
    <border>
      <left/>
      <right/>
      <top/>
      <bottom style="medium">
        <color rgb="FF548DD4"/>
      </bottom>
      <diagonal/>
    </border>
    <border>
      <left style="medium">
        <color rgb="FF548DD4"/>
      </left>
      <right style="thin">
        <color rgb="FF548DD4"/>
      </right>
      <top style="medium">
        <color rgb="FF548DD4"/>
      </top>
      <bottom style="thin">
        <color rgb="FF548DD4"/>
      </bottom>
      <diagonal/>
    </border>
    <border>
      <left style="thin">
        <color rgb="FF548DD4"/>
      </left>
      <right style="thin">
        <color rgb="FF548DD4"/>
      </right>
      <top style="medium">
        <color rgb="FF548DD4"/>
      </top>
      <bottom style="thin">
        <color rgb="FF548DD4"/>
      </bottom>
      <diagonal/>
    </border>
    <border>
      <left style="thin">
        <color rgb="FF548DD4"/>
      </left>
      <right style="medium">
        <color rgb="FF548DD4"/>
      </right>
      <top style="medium">
        <color rgb="FF548DD4"/>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548DD4"/>
      </left>
      <right style="thin">
        <color rgb="FF548DD4"/>
      </right>
      <top style="thin">
        <color rgb="FF548DD4"/>
      </top>
      <bottom style="medium">
        <color rgb="FF548DD4"/>
      </bottom>
      <diagonal/>
    </border>
    <border>
      <left style="thin">
        <color rgb="FF548DD4"/>
      </left>
      <right style="thin">
        <color rgb="FF548DD4"/>
      </right>
      <top style="thin">
        <color rgb="FF548DD4"/>
      </top>
      <bottom style="medium">
        <color rgb="FF548DD4"/>
      </bottom>
      <diagonal/>
    </border>
    <border>
      <left/>
      <right/>
      <top/>
      <bottom style="thin">
        <color auto="1"/>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thin">
        <color rgb="FF548DD4"/>
      </right>
      <top style="thin">
        <color rgb="FF548DD4"/>
      </top>
      <bottom style="thin">
        <color rgb="FF548DD4"/>
      </bottom>
      <diagonal/>
    </border>
    <border>
      <left style="thin">
        <color rgb="FF548DD4"/>
      </left>
      <right/>
      <top style="thin">
        <color rgb="FF548DD4"/>
      </top>
      <bottom style="thin">
        <color rgb="FF548DD4"/>
      </bottom>
      <diagonal/>
    </border>
    <border>
      <left/>
      <right style="medium">
        <color rgb="FF548DD4"/>
      </right>
      <top style="thin">
        <color rgb="FF548DD4"/>
      </top>
      <bottom style="thin">
        <color rgb="FF548DD4"/>
      </bottom>
      <diagonal/>
    </border>
    <border>
      <left style="thin">
        <color rgb="FF548DD4"/>
      </left>
      <right/>
      <top style="thin">
        <color rgb="FF548DD4"/>
      </top>
      <bottom style="hair">
        <color theme="4"/>
      </bottom>
      <diagonal/>
    </border>
    <border>
      <left/>
      <right/>
      <top style="thin">
        <color rgb="FF548DD4"/>
      </top>
      <bottom style="hair">
        <color theme="4"/>
      </bottom>
      <diagonal/>
    </border>
    <border>
      <left/>
      <right style="thin">
        <color rgb="FF548DD4"/>
      </right>
      <top style="thin">
        <color rgb="FF548DD4"/>
      </top>
      <bottom style="hair">
        <color theme="4"/>
      </bottom>
      <diagonal/>
    </border>
    <border>
      <left style="thin">
        <color rgb="FF548DD4"/>
      </left>
      <right/>
      <top style="hair">
        <color theme="4"/>
      </top>
      <bottom style="hair">
        <color theme="4"/>
      </bottom>
      <diagonal/>
    </border>
    <border>
      <left/>
      <right/>
      <top style="hair">
        <color theme="4"/>
      </top>
      <bottom style="hair">
        <color theme="4"/>
      </bottom>
      <diagonal/>
    </border>
    <border>
      <left/>
      <right style="thin">
        <color rgb="FF548DD4"/>
      </right>
      <top style="hair">
        <color theme="4"/>
      </top>
      <bottom style="hair">
        <color theme="4"/>
      </bottom>
      <diagonal/>
    </border>
    <border>
      <left style="thin">
        <color rgb="FF548DD4"/>
      </left>
      <right style="hair">
        <color rgb="FF548DD4"/>
      </right>
      <top style="thin">
        <color rgb="FF548DD4"/>
      </top>
      <bottom style="hair">
        <color rgb="FF548DD4"/>
      </bottom>
      <diagonal/>
    </border>
    <border>
      <left style="hair">
        <color rgb="FF548DD4"/>
      </left>
      <right style="hair">
        <color rgb="FF548DD4"/>
      </right>
      <top style="hair">
        <color rgb="FF548DD4"/>
      </top>
      <bottom/>
      <diagonal/>
    </border>
    <border>
      <left style="hair">
        <color rgb="FF548DD4"/>
      </left>
      <right style="thin">
        <color rgb="FF548DD4"/>
      </right>
      <top style="hair">
        <color rgb="FF548DD4"/>
      </top>
      <bottom/>
      <diagonal/>
    </border>
    <border>
      <left style="thin">
        <color rgb="FF548DD4"/>
      </left>
      <right style="hair">
        <color rgb="FF548DD4"/>
      </right>
      <top style="hair">
        <color rgb="FF548DD4"/>
      </top>
      <bottom style="hair">
        <color rgb="FF548DD4"/>
      </bottom>
      <diagonal/>
    </border>
    <border>
      <left style="hair">
        <color rgb="FF548DD4"/>
      </left>
      <right style="hair">
        <color rgb="FF548DD4"/>
      </right>
      <top style="hair">
        <color rgb="FF548DD4"/>
      </top>
      <bottom style="hair">
        <color rgb="FF548DD4"/>
      </bottom>
      <diagonal/>
    </border>
    <border>
      <left style="hair">
        <color rgb="FF548DD4"/>
      </left>
      <right style="thin">
        <color rgb="FF548DD4"/>
      </right>
      <top style="hair">
        <color rgb="FF548DD4"/>
      </top>
      <bottom style="hair">
        <color rgb="FF548DD4"/>
      </bottom>
      <diagonal/>
    </border>
    <border>
      <left style="thin">
        <color rgb="FF548DD4"/>
      </left>
      <right style="hair">
        <color rgb="FF548DD4"/>
      </right>
      <top style="hair">
        <color rgb="FF548DD4"/>
      </top>
      <bottom style="thin">
        <color rgb="FF548DD4"/>
      </bottom>
      <diagonal/>
    </border>
    <border>
      <left style="thin">
        <color rgb="FF548DD4"/>
      </left>
      <right/>
      <top/>
      <bottom/>
      <diagonal/>
    </border>
    <border>
      <left/>
      <right/>
      <top style="thin">
        <color rgb="FF548DD4"/>
      </top>
      <bottom/>
      <diagonal/>
    </border>
    <border>
      <left/>
      <right style="thin">
        <color rgb="FF548DD4"/>
      </right>
      <top style="thin">
        <color rgb="FF548DD4"/>
      </top>
      <bottom/>
      <diagonal/>
    </border>
    <border>
      <left/>
      <right style="thin">
        <color rgb="FF548DD4"/>
      </right>
      <top/>
      <bottom/>
      <diagonal/>
    </border>
    <border>
      <left/>
      <right/>
      <top/>
      <bottom style="thin">
        <color rgb="FF548DD4"/>
      </bottom>
      <diagonal/>
    </border>
    <border>
      <left/>
      <right style="thin">
        <color rgb="FF548DD4"/>
      </right>
      <top/>
      <bottom style="thin">
        <color rgb="FF548DD4"/>
      </bottom>
      <diagonal/>
    </border>
    <border>
      <left style="hair">
        <color rgb="FF548DD4"/>
      </left>
      <right/>
      <top style="hair">
        <color rgb="FF548DD4"/>
      </top>
      <bottom style="thin">
        <color rgb="FF548DD4"/>
      </bottom>
      <diagonal/>
    </border>
    <border>
      <left/>
      <right style="hair">
        <color rgb="FF548DD4"/>
      </right>
      <top style="hair">
        <color rgb="FF548DD4"/>
      </top>
      <bottom style="thin">
        <color rgb="FF548DD4"/>
      </bottom>
      <diagonal/>
    </border>
    <border>
      <left/>
      <right style="thin">
        <color rgb="FF548DD4"/>
      </right>
      <top style="hair">
        <color rgb="FF548DD4"/>
      </top>
      <bottom style="thin">
        <color rgb="FF548DD4"/>
      </bottom>
      <diagonal/>
    </border>
  </borders>
  <cellStyleXfs count="2">
    <xf numFmtId="0" fontId="0" fillId="0" borderId="0"/>
    <xf numFmtId="0" fontId="6" fillId="0" borderId="0" applyNumberFormat="0" applyFill="0" applyBorder="0" applyAlignment="0" applyProtection="0"/>
  </cellStyleXfs>
  <cellXfs count="126">
    <xf numFmtId="0" fontId="0" fillId="0" borderId="0" xfId="0"/>
    <xf numFmtId="0" fontId="0" fillId="2" borderId="0" xfId="0" applyFill="1"/>
    <xf numFmtId="0" fontId="1" fillId="2" borderId="0" xfId="0" applyFont="1" applyFill="1" applyAlignment="1">
      <alignment vertical="center" wrapText="1"/>
    </xf>
    <xf numFmtId="0" fontId="0" fillId="2" borderId="0" xfId="0" applyFill="1" applyAlignment="1">
      <alignment horizontal="left"/>
    </xf>
    <xf numFmtId="165" fontId="0" fillId="2" borderId="0" xfId="0" applyNumberFormat="1" applyFill="1"/>
    <xf numFmtId="49" fontId="0" fillId="2" borderId="0" xfId="0" applyNumberFormat="1" applyFill="1"/>
    <xf numFmtId="0" fontId="0" fillId="2" borderId="0" xfId="0" applyFill="1" applyProtection="1">
      <protection hidden="1"/>
    </xf>
    <xf numFmtId="49" fontId="0" fillId="2" borderId="6" xfId="0" applyNumberFormat="1" applyFill="1" applyBorder="1" applyProtection="1">
      <protection locked="0"/>
    </xf>
    <xf numFmtId="49" fontId="0" fillId="2" borderId="7" xfId="0" applyNumberFormat="1" applyFill="1" applyBorder="1" applyProtection="1">
      <protection locked="0"/>
    </xf>
    <xf numFmtId="0" fontId="0" fillId="0" borderId="7" xfId="0" applyBorder="1" applyProtection="1">
      <protection locked="0"/>
    </xf>
    <xf numFmtId="165" fontId="0" fillId="0" borderId="6" xfId="0" applyNumberFormat="1" applyBorder="1" applyProtection="1">
      <protection locked="0"/>
    </xf>
    <xf numFmtId="0" fontId="0" fillId="2" borderId="6" xfId="0" applyFill="1" applyBorder="1" applyProtection="1">
      <protection locked="0"/>
    </xf>
    <xf numFmtId="0" fontId="0" fillId="2" borderId="0" xfId="0" applyFill="1" applyProtection="1">
      <protection locked="0"/>
    </xf>
    <xf numFmtId="165" fontId="0" fillId="2" borderId="0" xfId="0" applyNumberFormat="1" applyFill="1" applyProtection="1">
      <protection locked="0"/>
    </xf>
    <xf numFmtId="9" fontId="0" fillId="2" borderId="0" xfId="0" applyNumberFormat="1" applyFill="1" applyProtection="1">
      <protection locked="0"/>
    </xf>
    <xf numFmtId="0" fontId="8" fillId="2" borderId="0" xfId="0" applyFont="1" applyFill="1" applyAlignment="1">
      <alignment horizontal="right"/>
    </xf>
    <xf numFmtId="0" fontId="11" fillId="5" borderId="22" xfId="0" applyFont="1" applyFill="1" applyBorder="1" applyAlignment="1">
      <alignment horizontal="left" vertical="center" wrapText="1"/>
    </xf>
    <xf numFmtId="0" fontId="11" fillId="5" borderId="25" xfId="0" applyFont="1" applyFill="1" applyBorder="1" applyAlignment="1">
      <alignment horizontal="left" vertical="center" wrapText="1"/>
    </xf>
    <xf numFmtId="0" fontId="11" fillId="5" borderId="28" xfId="0" applyFont="1" applyFill="1" applyBorder="1" applyAlignment="1">
      <alignment horizontal="left" vertical="center" wrapText="1"/>
    </xf>
    <xf numFmtId="0" fontId="12" fillId="2" borderId="29" xfId="0" applyFont="1" applyFill="1" applyBorder="1"/>
    <xf numFmtId="0" fontId="12" fillId="2" borderId="30" xfId="0" applyFont="1" applyFill="1" applyBorder="1"/>
    <xf numFmtId="0" fontId="12" fillId="0" borderId="30" xfId="0" applyFont="1" applyBorder="1"/>
    <xf numFmtId="0" fontId="12" fillId="0" borderId="31" xfId="0" applyFont="1" applyBorder="1"/>
    <xf numFmtId="0" fontId="8" fillId="0" borderId="0" xfId="0" applyFont="1" applyAlignment="1">
      <alignment horizontal="right"/>
    </xf>
    <xf numFmtId="0" fontId="9" fillId="0" borderId="0" xfId="0" applyFont="1" applyAlignment="1">
      <alignment horizontal="center"/>
    </xf>
    <xf numFmtId="0" fontId="13" fillId="0" borderId="0" xfId="0" applyFont="1" applyAlignment="1">
      <alignment horizontal="justify" vertical="center"/>
    </xf>
    <xf numFmtId="0" fontId="13" fillId="0" borderId="0" xfId="0" applyFont="1" applyAlignment="1">
      <alignment horizontal="left" vertical="center" wrapText="1"/>
    </xf>
    <xf numFmtId="0" fontId="12" fillId="0" borderId="0" xfId="0" applyFont="1" applyAlignment="1">
      <alignment wrapText="1"/>
    </xf>
    <xf numFmtId="0" fontId="13" fillId="0" borderId="0" xfId="0" applyFont="1" applyAlignment="1">
      <alignment wrapText="1"/>
    </xf>
    <xf numFmtId="0" fontId="0" fillId="0" borderId="0" xfId="0" applyFill="1"/>
    <xf numFmtId="0" fontId="0" fillId="0" borderId="0" xfId="0" applyAlignment="1">
      <alignment horizontal="left"/>
    </xf>
    <xf numFmtId="0" fontId="0" fillId="0" borderId="0" xfId="0" applyAlignment="1">
      <alignment horizontal="left" vertical="top"/>
    </xf>
    <xf numFmtId="0" fontId="7" fillId="0" borderId="0" xfId="0" applyFont="1"/>
    <xf numFmtId="49" fontId="13" fillId="0" borderId="0" xfId="0" applyNumberFormat="1" applyFont="1" applyAlignment="1">
      <alignment horizontal="justify" vertical="center"/>
    </xf>
    <xf numFmtId="0" fontId="0" fillId="7" borderId="0" xfId="0" applyFill="1"/>
    <xf numFmtId="0" fontId="0" fillId="2" borderId="0" xfId="0" applyFill="1"/>
    <xf numFmtId="0" fontId="0" fillId="0" borderId="0" xfId="0"/>
    <xf numFmtId="0" fontId="0" fillId="2" borderId="0" xfId="0" applyFill="1"/>
    <xf numFmtId="0" fontId="0" fillId="5" borderId="0" xfId="0" applyFill="1"/>
    <xf numFmtId="0" fontId="0" fillId="5" borderId="0" xfId="0" applyFill="1" applyAlignment="1">
      <alignment horizontal="right"/>
    </xf>
    <xf numFmtId="0" fontId="0" fillId="5" borderId="0" xfId="0" applyFill="1" applyAlignment="1">
      <alignment wrapText="1"/>
    </xf>
    <xf numFmtId="0" fontId="0" fillId="5" borderId="0" xfId="0" applyFill="1" applyAlignment="1">
      <alignment horizontal="left"/>
    </xf>
    <xf numFmtId="9" fontId="0" fillId="5" borderId="0" xfId="0" applyNumberFormat="1" applyFill="1"/>
    <xf numFmtId="0" fontId="4" fillId="2" borderId="0" xfId="0" applyFont="1" applyFill="1" applyAlignment="1">
      <alignment horizontal="center"/>
    </xf>
    <xf numFmtId="0" fontId="6" fillId="4" borderId="5" xfId="1" applyFill="1" applyBorder="1" applyAlignment="1">
      <alignment horizontal="left" vertical="center" wrapText="1"/>
    </xf>
    <xf numFmtId="0" fontId="6" fillId="4" borderId="6" xfId="1" applyFill="1" applyBorder="1" applyAlignment="1">
      <alignment horizontal="left" vertical="center" wrapText="1"/>
    </xf>
    <xf numFmtId="0" fontId="0" fillId="2" borderId="6" xfId="0" applyFill="1" applyBorder="1" applyAlignment="1" applyProtection="1">
      <alignment horizontal="center"/>
      <protection locked="0"/>
    </xf>
    <xf numFmtId="0" fontId="0" fillId="2" borderId="7" xfId="0" applyFill="1" applyBorder="1" applyAlignment="1" applyProtection="1">
      <alignment horizontal="center"/>
      <protection locked="0"/>
    </xf>
    <xf numFmtId="0" fontId="7" fillId="3" borderId="1" xfId="0" applyFont="1" applyFill="1" applyBorder="1" applyAlignment="1">
      <alignment horizontal="center"/>
    </xf>
    <xf numFmtId="0" fontId="1" fillId="4" borderId="5" xfId="0" applyFont="1" applyFill="1" applyBorder="1" applyAlignment="1">
      <alignment horizontal="left" vertical="center" wrapText="1"/>
    </xf>
    <xf numFmtId="0" fontId="1" fillId="4" borderId="6" xfId="0" applyFont="1" applyFill="1" applyBorder="1" applyAlignment="1">
      <alignment horizontal="left" vertical="center" wrapText="1"/>
    </xf>
    <xf numFmtId="49" fontId="0" fillId="0" borderId="6" xfId="0" applyNumberFormat="1" applyBorder="1" applyAlignment="1" applyProtection="1">
      <alignment horizontal="center"/>
      <protection locked="0"/>
    </xf>
    <xf numFmtId="49" fontId="0" fillId="0" borderId="7" xfId="0" applyNumberFormat="1" applyBorder="1" applyAlignment="1" applyProtection="1">
      <alignment horizontal="center"/>
      <protection locked="0"/>
    </xf>
    <xf numFmtId="0" fontId="1" fillId="4" borderId="2" xfId="0" applyFont="1" applyFill="1" applyBorder="1" applyAlignment="1">
      <alignment horizontal="left" vertical="center" wrapText="1"/>
    </xf>
    <xf numFmtId="0" fontId="1" fillId="4" borderId="3" xfId="0" applyFont="1" applyFill="1" applyBorder="1" applyAlignment="1">
      <alignment horizontal="left" vertical="center" wrapText="1"/>
    </xf>
    <xf numFmtId="0" fontId="0" fillId="2" borderId="3" xfId="0" applyFill="1" applyBorder="1" applyAlignment="1" applyProtection="1">
      <alignment horizontal="center" wrapText="1"/>
      <protection locked="0"/>
    </xf>
    <xf numFmtId="0" fontId="0" fillId="2" borderId="4" xfId="0" applyFill="1" applyBorder="1" applyAlignment="1" applyProtection="1">
      <alignment horizontal="center" wrapText="1"/>
      <protection locked="0"/>
    </xf>
    <xf numFmtId="0" fontId="1" fillId="4" borderId="11" xfId="0" applyFont="1" applyFill="1" applyBorder="1" applyAlignment="1">
      <alignment horizontal="left" vertical="center" wrapText="1"/>
    </xf>
    <xf numFmtId="0" fontId="1" fillId="4" borderId="12" xfId="0" applyFont="1" applyFill="1" applyBorder="1" applyAlignment="1">
      <alignment horizontal="left" vertical="center" wrapText="1"/>
    </xf>
    <xf numFmtId="0" fontId="1" fillId="4" borderId="13" xfId="0" applyFont="1" applyFill="1" applyBorder="1" applyAlignment="1">
      <alignment horizontal="left" vertical="center" wrapText="1"/>
    </xf>
    <xf numFmtId="0" fontId="0" fillId="0" borderId="14" xfId="0" applyBorder="1" applyAlignment="1" applyProtection="1">
      <alignment horizontal="center"/>
      <protection locked="0"/>
    </xf>
    <xf numFmtId="0" fontId="0" fillId="0" borderId="15" xfId="0" applyBorder="1" applyAlignment="1" applyProtection="1">
      <alignment horizontal="center"/>
      <protection locked="0"/>
    </xf>
    <xf numFmtId="0" fontId="0" fillId="2" borderId="6" xfId="0" applyFill="1" applyBorder="1" applyAlignment="1" applyProtection="1">
      <alignment horizontal="center" vertical="center"/>
      <protection locked="0"/>
    </xf>
    <xf numFmtId="0" fontId="0" fillId="2" borderId="7" xfId="0" applyFill="1" applyBorder="1" applyAlignment="1" applyProtection="1">
      <alignment horizontal="center" vertical="center"/>
      <protection locked="0"/>
    </xf>
    <xf numFmtId="0" fontId="16" fillId="0" borderId="6"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protection locked="0"/>
    </xf>
    <xf numFmtId="49" fontId="0" fillId="2" borderId="6" xfId="0" applyNumberFormat="1" applyFill="1" applyBorder="1" applyAlignment="1" applyProtection="1">
      <alignment horizontal="center"/>
      <protection locked="0"/>
    </xf>
    <xf numFmtId="49" fontId="0" fillId="2" borderId="7" xfId="0" applyNumberFormat="1" applyFill="1" applyBorder="1" applyAlignment="1" applyProtection="1">
      <alignment horizontal="center"/>
      <protection locked="0"/>
    </xf>
    <xf numFmtId="0" fontId="6" fillId="2" borderId="6" xfId="1" applyFill="1" applyBorder="1" applyAlignment="1" applyProtection="1">
      <alignment horizontal="center"/>
      <protection locked="0"/>
    </xf>
    <xf numFmtId="0" fontId="0" fillId="0" borderId="6" xfId="0" applyBorder="1" applyAlignment="1" applyProtection="1">
      <alignment horizontal="center"/>
      <protection locked="0"/>
    </xf>
    <xf numFmtId="0" fontId="0" fillId="0" borderId="7" xfId="0" applyBorder="1" applyAlignment="1" applyProtection="1">
      <alignment horizontal="center"/>
      <protection locked="0"/>
    </xf>
    <xf numFmtId="0" fontId="0" fillId="2" borderId="0" xfId="0" applyFill="1" applyAlignment="1">
      <alignment horizontal="left"/>
    </xf>
    <xf numFmtId="165" fontId="0" fillId="2" borderId="0" xfId="0" applyNumberFormat="1" applyFill="1" applyAlignment="1" applyProtection="1">
      <alignment horizontal="center"/>
      <protection hidden="1"/>
    </xf>
    <xf numFmtId="0" fontId="5" fillId="0" borderId="0" xfId="0" applyFont="1" applyAlignment="1">
      <alignment horizontal="left" vertical="top" wrapText="1"/>
    </xf>
    <xf numFmtId="0" fontId="5" fillId="0" borderId="0" xfId="0" applyFont="1" applyAlignment="1">
      <alignment horizontal="left" vertical="top"/>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6" fillId="2" borderId="14" xfId="1" applyFill="1" applyBorder="1" applyAlignment="1" applyProtection="1">
      <alignment horizontal="center"/>
      <protection locked="0"/>
    </xf>
    <xf numFmtId="0" fontId="6" fillId="2" borderId="15" xfId="1" applyFill="1" applyBorder="1" applyAlignment="1" applyProtection="1">
      <alignment horizontal="center"/>
      <protection locked="0"/>
    </xf>
    <xf numFmtId="0" fontId="0" fillId="0" borderId="6"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164" fontId="0" fillId="2" borderId="6" xfId="0" applyNumberFormat="1" applyFill="1" applyBorder="1" applyAlignment="1" applyProtection="1">
      <alignment horizontal="center" vertical="center"/>
      <protection locked="0"/>
    </xf>
    <xf numFmtId="164" fontId="0" fillId="2" borderId="7" xfId="0" applyNumberFormat="1" applyFill="1" applyBorder="1" applyAlignment="1" applyProtection="1">
      <alignment horizontal="center" vertical="center"/>
      <protection locked="0"/>
    </xf>
    <xf numFmtId="0" fontId="0" fillId="2" borderId="10" xfId="0" applyFill="1" applyBorder="1" applyAlignment="1">
      <alignment horizontal="center"/>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3" fillId="4" borderId="8" xfId="0" applyFont="1" applyFill="1" applyBorder="1" applyAlignment="1">
      <alignment horizontal="left" vertical="center" wrapText="1"/>
    </xf>
    <xf numFmtId="0" fontId="3" fillId="4" borderId="9" xfId="0" applyFont="1" applyFill="1" applyBorder="1" applyAlignment="1">
      <alignment horizontal="left" vertical="center" wrapText="1"/>
    </xf>
    <xf numFmtId="0" fontId="0" fillId="2" borderId="0" xfId="0" applyFill="1" applyAlignment="1" applyProtection="1">
      <alignment horizontal="left"/>
      <protection hidden="1"/>
    </xf>
    <xf numFmtId="0" fontId="0" fillId="2" borderId="0" xfId="0" applyFill="1" applyAlignment="1">
      <alignment horizontal="center"/>
    </xf>
    <xf numFmtId="0" fontId="0" fillId="2" borderId="0" xfId="0" applyFill="1" applyAlignment="1" applyProtection="1">
      <alignment horizontal="center"/>
      <protection hidden="1"/>
    </xf>
    <xf numFmtId="0" fontId="12" fillId="0" borderId="30" xfId="0" applyFont="1" applyFill="1" applyBorder="1" applyAlignment="1">
      <alignment horizontal="center"/>
    </xf>
    <xf numFmtId="0" fontId="12" fillId="0" borderId="0" xfId="0" applyFont="1" applyFill="1" applyBorder="1" applyAlignment="1">
      <alignment horizontal="center"/>
    </xf>
    <xf numFmtId="49" fontId="12" fillId="6" borderId="26" xfId="0" applyNumberFormat="1" applyFont="1" applyFill="1" applyBorder="1" applyAlignment="1" applyProtection="1">
      <alignment horizontal="left" vertical="center"/>
      <protection locked="0"/>
    </xf>
    <xf numFmtId="49" fontId="12" fillId="6" borderId="27" xfId="0" applyNumberFormat="1" applyFont="1" applyFill="1" applyBorder="1" applyAlignment="1" applyProtection="1">
      <alignment horizontal="left" vertical="center"/>
      <protection locked="0"/>
    </xf>
    <xf numFmtId="49" fontId="12" fillId="6" borderId="35" xfId="0" applyNumberFormat="1" applyFont="1" applyFill="1" applyBorder="1" applyAlignment="1" applyProtection="1">
      <alignment horizontal="center" vertical="center"/>
      <protection locked="0"/>
    </xf>
    <xf numFmtId="49" fontId="12" fillId="6" borderId="36" xfId="0" applyNumberFormat="1" applyFont="1" applyFill="1" applyBorder="1" applyAlignment="1" applyProtection="1">
      <alignment horizontal="center" vertical="center"/>
      <protection locked="0"/>
    </xf>
    <xf numFmtId="49" fontId="12" fillId="6" borderId="37" xfId="0" applyNumberFormat="1" applyFont="1" applyFill="1" applyBorder="1" applyAlignment="1" applyProtection="1">
      <alignment horizontal="center" vertical="center"/>
      <protection locked="0"/>
    </xf>
    <xf numFmtId="0" fontId="15" fillId="0" borderId="0" xfId="0" applyFont="1" applyAlignment="1">
      <alignment horizontal="left" vertical="top" wrapText="1"/>
    </xf>
    <xf numFmtId="0" fontId="15" fillId="0" borderId="32" xfId="0" applyFont="1" applyBorder="1" applyAlignment="1">
      <alignment horizontal="left" vertical="top" wrapText="1"/>
    </xf>
    <xf numFmtId="0" fontId="15" fillId="0" borderId="33" xfId="0" applyFont="1" applyBorder="1" applyAlignment="1">
      <alignment horizontal="left" vertical="top" wrapText="1"/>
    </xf>
    <xf numFmtId="0" fontId="15" fillId="0" borderId="34" xfId="0" applyFont="1" applyBorder="1" applyAlignment="1">
      <alignment horizontal="left" vertical="top" wrapText="1"/>
    </xf>
    <xf numFmtId="0" fontId="9" fillId="5" borderId="14"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10" fillId="7" borderId="23" xfId="0" applyFont="1" applyFill="1" applyBorder="1" applyAlignment="1">
      <alignment vertical="center" wrapText="1"/>
    </xf>
    <xf numFmtId="0" fontId="10" fillId="7" borderId="24" xfId="0" applyFont="1" applyFill="1" applyBorder="1" applyAlignment="1">
      <alignment vertical="center" wrapText="1"/>
    </xf>
    <xf numFmtId="0" fontId="10" fillId="7" borderId="26" xfId="0" applyFont="1" applyFill="1" applyBorder="1" applyAlignment="1">
      <alignment horizontal="left" vertical="center" wrapText="1"/>
    </xf>
    <xf numFmtId="0" fontId="10" fillId="7" borderId="27" xfId="0" applyFont="1" applyFill="1" applyBorder="1" applyAlignment="1">
      <alignment horizontal="left" vertical="center" wrapText="1"/>
    </xf>
    <xf numFmtId="0" fontId="6" fillId="7" borderId="26" xfId="1" applyFill="1" applyBorder="1" applyAlignment="1">
      <alignment vertical="center" wrapText="1"/>
    </xf>
    <xf numFmtId="0" fontId="10" fillId="7" borderId="26" xfId="0" applyFont="1" applyFill="1" applyBorder="1" applyAlignment="1">
      <alignment vertical="center" wrapText="1"/>
    </xf>
    <xf numFmtId="0" fontId="10" fillId="7" borderId="27" xfId="0" applyFont="1" applyFill="1" applyBorder="1" applyAlignment="1">
      <alignment vertical="center" wrapText="1"/>
    </xf>
    <xf numFmtId="49" fontId="6" fillId="6" borderId="26" xfId="1" applyNumberFormat="1" applyFill="1" applyBorder="1" applyAlignment="1" applyProtection="1">
      <alignment horizontal="left" vertical="center"/>
      <protection locked="0"/>
    </xf>
    <xf numFmtId="0" fontId="9" fillId="6" borderId="14" xfId="0" applyFont="1" applyFill="1" applyBorder="1" applyAlignment="1">
      <alignment horizontal="left" vertical="center" wrapText="1"/>
    </xf>
    <xf numFmtId="0" fontId="9" fillId="6" borderId="12" xfId="0" applyFont="1" applyFill="1" applyBorder="1" applyAlignment="1">
      <alignment horizontal="left" vertical="center" wrapText="1"/>
    </xf>
    <xf numFmtId="0" fontId="9" fillId="6" borderId="13" xfId="0" applyFont="1" applyFill="1" applyBorder="1" applyAlignment="1">
      <alignment horizontal="left" vertical="center" wrapText="1"/>
    </xf>
    <xf numFmtId="0" fontId="10" fillId="0" borderId="16" xfId="0" applyFont="1" applyBorder="1" applyAlignment="1">
      <alignment vertical="center" wrapText="1"/>
    </xf>
    <xf numFmtId="0" fontId="10" fillId="0" borderId="17" xfId="0" applyFont="1" applyBorder="1" applyAlignment="1">
      <alignment vertical="center" wrapText="1"/>
    </xf>
    <xf numFmtId="0" fontId="10" fillId="0" borderId="18" xfId="0" applyFont="1" applyBorder="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21" xfId="0" applyFont="1" applyBorder="1" applyAlignment="1">
      <alignment vertical="center" wrapText="1"/>
    </xf>
    <xf numFmtId="0" fontId="1" fillId="6" borderId="11" xfId="0" applyFont="1" applyFill="1" applyBorder="1" applyAlignment="1">
      <alignment horizontal="left" vertical="center" wrapText="1"/>
    </xf>
    <xf numFmtId="0" fontId="1" fillId="6" borderId="12" xfId="0" applyFont="1" applyFill="1" applyBorder="1" applyAlignment="1">
      <alignment horizontal="left" vertical="center" wrapText="1"/>
    </xf>
    <xf numFmtId="0" fontId="1" fillId="6" borderId="13" xfId="0" applyFont="1" applyFill="1" applyBorder="1" applyAlignment="1">
      <alignment horizontal="left" vertical="center" wrapText="1"/>
    </xf>
    <xf numFmtId="0" fontId="0" fillId="0" borderId="0" xfId="0" applyAlignment="1">
      <alignment horizontal="left" vertical="top" wrapText="1"/>
    </xf>
  </cellXfs>
  <cellStyles count="2">
    <cellStyle name="Hyperlink" xfId="1" builtinId="8"/>
    <cellStyle name="Normal" xfId="0" builtinId="0"/>
  </cellStyles>
  <dxfs count="9">
    <dxf>
      <fill>
        <patternFill>
          <fgColor theme="0"/>
          <bgColor theme="4" tint="0.79998168889431442"/>
        </patternFill>
      </fill>
    </dxf>
    <dxf>
      <fill>
        <patternFill>
          <fgColor theme="0"/>
          <bgColor theme="3" tint="0.79998168889431442"/>
        </patternFill>
      </fill>
    </dxf>
    <dxf>
      <fill>
        <patternFill>
          <fgColor theme="0"/>
          <bgColor theme="4" tint="0.79998168889431442"/>
        </patternFill>
      </fill>
    </dxf>
    <dxf>
      <fill>
        <patternFill>
          <fgColor theme="0"/>
          <bgColor theme="4" tint="0.79998168889431442"/>
        </patternFill>
      </fill>
    </dxf>
    <dxf>
      <fill>
        <patternFill>
          <bgColor theme="4" tint="0.79998168889431442"/>
        </patternFill>
      </fill>
      <border>
        <left style="thin">
          <color theme="0"/>
        </left>
        <right style="thin">
          <color theme="0"/>
        </right>
        <top style="thin">
          <color theme="0"/>
        </top>
        <bottom style="thin">
          <color theme="0"/>
        </bottom>
        <vertical/>
        <horizontal/>
      </border>
    </dxf>
    <dxf>
      <fill>
        <patternFill>
          <bgColor theme="4" tint="0.79998168889431442"/>
        </patternFill>
      </fill>
      <border>
        <left style="thin">
          <color theme="0"/>
        </left>
        <right style="thin">
          <color theme="0"/>
        </right>
        <top style="thin">
          <color theme="0"/>
        </top>
        <bottom style="thin">
          <color theme="0"/>
        </bottom>
        <vertical/>
        <horizontal/>
      </border>
    </dxf>
    <dxf>
      <fill>
        <patternFill>
          <fgColor theme="0"/>
          <bgColor theme="3" tint="0.79998168889431442"/>
        </patternFill>
      </fill>
    </dxf>
    <dxf>
      <fill>
        <patternFill>
          <bgColor theme="4" tint="0.79998168889431442"/>
        </patternFill>
      </fill>
      <border>
        <left style="thin">
          <color theme="0"/>
        </left>
        <right style="thin">
          <color theme="0"/>
        </right>
        <top style="thin">
          <color theme="0"/>
        </top>
        <bottom style="thin">
          <color theme="0"/>
        </bottom>
        <vertical/>
        <horizontal/>
      </border>
    </dxf>
    <dxf>
      <fill>
        <patternFill>
          <fgColor theme="0"/>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226248</xdr:colOff>
      <xdr:row>0</xdr:row>
      <xdr:rowOff>164870</xdr:rowOff>
    </xdr:from>
    <xdr:to>
      <xdr:col>0</xdr:col>
      <xdr:colOff>1547309</xdr:colOff>
      <xdr:row>3</xdr:row>
      <xdr:rowOff>90054</xdr:rowOff>
    </xdr:to>
    <xdr:pic>
      <xdr:nvPicPr>
        <xdr:cNvPr id="2" name="Picture 1"/>
        <xdr:cNvPicPr>
          <a:picLocks noChangeAspect="1"/>
        </xdr:cNvPicPr>
      </xdr:nvPicPr>
      <xdr:blipFill>
        <a:blip xmlns:r="http://schemas.openxmlformats.org/officeDocument/2006/relationships" r:embed="rId1"/>
        <a:stretch>
          <a:fillRect/>
        </a:stretch>
      </xdr:blipFill>
      <xdr:spPr>
        <a:xfrm>
          <a:off x="226248" y="164870"/>
          <a:ext cx="1321061" cy="465511"/>
        </a:xfrm>
        <a:prstGeom prst="rect">
          <a:avLst/>
        </a:prstGeom>
      </xdr:spPr>
    </xdr:pic>
    <xdr:clientData/>
  </xdr:twoCellAnchor>
  <xdr:twoCellAnchor editAs="oneCell">
    <xdr:from>
      <xdr:col>2</xdr:col>
      <xdr:colOff>1143000</xdr:colOff>
      <xdr:row>0</xdr:row>
      <xdr:rowOff>105824</xdr:rowOff>
    </xdr:from>
    <xdr:to>
      <xdr:col>5</xdr:col>
      <xdr:colOff>719662</xdr:colOff>
      <xdr:row>3</xdr:row>
      <xdr:rowOff>157035</xdr:rowOff>
    </xdr:to>
    <xdr:pic>
      <xdr:nvPicPr>
        <xdr:cNvPr id="4" name="Picture 3"/>
        <xdr:cNvPicPr>
          <a:picLocks noChangeAspect="1"/>
        </xdr:cNvPicPr>
      </xdr:nvPicPr>
      <xdr:blipFill>
        <a:blip xmlns:r="http://schemas.openxmlformats.org/officeDocument/2006/relationships" r:embed="rId2"/>
        <a:stretch>
          <a:fillRect/>
        </a:stretch>
      </xdr:blipFill>
      <xdr:spPr>
        <a:xfrm>
          <a:off x="4716780" y="105824"/>
          <a:ext cx="3112342" cy="599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927652</xdr:colOff>
      <xdr:row>3</xdr:row>
      <xdr:rowOff>0</xdr:rowOff>
    </xdr:from>
    <xdr:to>
      <xdr:col>1</xdr:col>
      <xdr:colOff>152400</xdr:colOff>
      <xdr:row>3</xdr:row>
      <xdr:rowOff>0</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39972" y="548640"/>
          <a:ext cx="154388" cy="139148"/>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175260</xdr:colOff>
          <xdr:row>6</xdr:row>
          <xdr:rowOff>251460</xdr:rowOff>
        </xdr:from>
        <xdr:to>
          <xdr:col>1</xdr:col>
          <xdr:colOff>914400</xdr:colOff>
          <xdr:row>8</xdr:row>
          <xdr:rowOff>68580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175260</xdr:colOff>
          <xdr:row>7</xdr:row>
          <xdr:rowOff>228600</xdr:rowOff>
        </xdr:from>
        <xdr:to>
          <xdr:col>1</xdr:col>
          <xdr:colOff>914400</xdr:colOff>
          <xdr:row>8</xdr:row>
          <xdr:rowOff>297180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327659</xdr:colOff>
      <xdr:row>0</xdr:row>
      <xdr:rowOff>94828</xdr:rowOff>
    </xdr:from>
    <xdr:to>
      <xdr:col>1</xdr:col>
      <xdr:colOff>1206899</xdr:colOff>
      <xdr:row>3</xdr:row>
      <xdr:rowOff>36168</xdr:rowOff>
    </xdr:to>
    <xdr:pic>
      <xdr:nvPicPr>
        <xdr:cNvPr id="3" name="Picture 2"/>
        <xdr:cNvPicPr>
          <a:picLocks noChangeAspect="1"/>
        </xdr:cNvPicPr>
      </xdr:nvPicPr>
      <xdr:blipFill>
        <a:blip xmlns:r="http://schemas.openxmlformats.org/officeDocument/2006/relationships" r:embed="rId1"/>
        <a:stretch>
          <a:fillRect/>
        </a:stretch>
      </xdr:blipFill>
      <xdr:spPr>
        <a:xfrm>
          <a:off x="327659" y="94828"/>
          <a:ext cx="1321200" cy="4899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434340</xdr:colOff>
      <xdr:row>0</xdr:row>
      <xdr:rowOff>45720</xdr:rowOff>
    </xdr:from>
    <xdr:to>
      <xdr:col>3</xdr:col>
      <xdr:colOff>247043</xdr:colOff>
      <xdr:row>3</xdr:row>
      <xdr:rowOff>83820</xdr:rowOff>
    </xdr:to>
    <xdr:pic>
      <xdr:nvPicPr>
        <xdr:cNvPr id="2" name="Picture 1"/>
        <xdr:cNvPicPr>
          <a:picLocks noChangeAspect="1"/>
        </xdr:cNvPicPr>
      </xdr:nvPicPr>
      <xdr:blipFill>
        <a:blip xmlns:r="http://schemas.openxmlformats.org/officeDocument/2006/relationships" r:embed="rId1"/>
        <a:stretch>
          <a:fillRect/>
        </a:stretch>
      </xdr:blipFill>
      <xdr:spPr>
        <a:xfrm>
          <a:off x="434340" y="45720"/>
          <a:ext cx="1641503" cy="5867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sfs\PS_Dokumenti\Users\vukasin.zivkovic\Desktop\Zahtev%20za%20uspostavljanje%20poslovne%20saradnje%20IEN%20sa%20dodatkom%20za%20E-commer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sfs\PS_Dokumenti\Users\vukasin.zivkovic\Downloads\P053%20V05%20Zahtev%20za%20uspostavljanje%20poslovne%20saradnje%20-%20V&#381;%20DM%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sfs\PS_Dokumenti\Users\veselin.martinovic\Downloads\P053%20V04%20Zahtev%20za%20uspostavljanje%20poslovne%20saradnje%2008.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htev"/>
      <sheetName val="Dodatak za E-commerce"/>
      <sheetName val="Pojmovi"/>
      <sheetName val="Radno"/>
    </sheetNames>
    <sheetDataSet>
      <sheetData sheetId="0"/>
      <sheetData sheetId="1"/>
      <sheetData sheetId="2"/>
      <sheetData sheetId="3">
        <row r="1">
          <cell r="H1" t="str">
            <v>Da</v>
          </cell>
          <cell r="I1" t="str">
            <v>Ne</v>
          </cell>
        </row>
        <row r="2">
          <cell r="A2" t="str">
            <v>Predaja pazara</v>
          </cell>
          <cell r="C2" t="str">
            <v>Koristi pečat</v>
          </cell>
          <cell r="E2" t="str">
            <v>Da</v>
          </cell>
          <cell r="J2" t="str">
            <v>Lična karta</v>
          </cell>
        </row>
        <row r="3">
          <cell r="A3" t="str">
            <v>PayPerLink</v>
          </cell>
          <cell r="C3" t="str">
            <v>Ne koristi pečat</v>
          </cell>
          <cell r="E3" t="str">
            <v>Ne</v>
          </cell>
          <cell r="J3" t="str">
            <v>Pasoš</v>
          </cell>
        </row>
        <row r="4">
          <cell r="A4" t="str">
            <v>Zastupnik</v>
          </cell>
        </row>
        <row r="5">
          <cell r="A5" t="str">
            <v>Ostalo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htev"/>
      <sheetName val="Dodatak za E-commerce"/>
      <sheetName val="Pojmovi i informacije"/>
      <sheetName val="Radno"/>
    </sheetNames>
    <sheetDataSet>
      <sheetData sheetId="0"/>
      <sheetData sheetId="1"/>
      <sheetData sheetId="2"/>
      <sheetData sheetId="3">
        <row r="1">
          <cell r="H1" t="str">
            <v>Da</v>
          </cell>
          <cell r="I1" t="str">
            <v>Ne</v>
          </cell>
        </row>
        <row r="2">
          <cell r="A2" t="str">
            <v>Predaja pazara</v>
          </cell>
          <cell r="C2" t="str">
            <v>Koristi pečat</v>
          </cell>
          <cell r="E2" t="str">
            <v>Da</v>
          </cell>
          <cell r="J2" t="str">
            <v>Lična karta</v>
          </cell>
        </row>
        <row r="3">
          <cell r="A3" t="str">
            <v>PayPerLink</v>
          </cell>
          <cell r="C3" t="str">
            <v>Ne koristi pečat</v>
          </cell>
          <cell r="E3" t="str">
            <v>Ne</v>
          </cell>
          <cell r="J3" t="str">
            <v>Pasoš</v>
          </cell>
        </row>
        <row r="4">
          <cell r="A4" t="str">
            <v>Zastupnik</v>
          </cell>
        </row>
        <row r="5">
          <cell r="A5" t="str">
            <v>Ostalo</v>
          </cell>
        </row>
        <row r="9">
          <cell r="A9" t="str">
            <v>Fizička lica</v>
          </cell>
        </row>
        <row r="10">
          <cell r="A10" t="str">
            <v>Pravna lica</v>
          </cell>
        </row>
        <row r="11">
          <cell r="A11" t="str">
            <v>Fizička i pravna lica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htev"/>
      <sheetName val="Dodatak za E-commerce"/>
      <sheetName val="Pojmovi"/>
      <sheetName val="Radno"/>
    </sheetNames>
    <sheetDataSet>
      <sheetData sheetId="0"/>
      <sheetData sheetId="1"/>
      <sheetData sheetId="2"/>
      <sheetData sheetId="3">
        <row r="9">
          <cell r="A9" t="str">
            <v>Fizička lica</v>
          </cell>
        </row>
        <row r="10">
          <cell r="A10" t="str">
            <v>Pravna lica</v>
          </cell>
        </row>
        <row r="11">
          <cell r="A11" t="str">
            <v>Fizička i pravna lica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6:J69"/>
  <sheetViews>
    <sheetView tabSelected="1" view="pageBreakPreview" topLeftCell="A7" zoomScaleNormal="100" zoomScaleSheetLayoutView="100" workbookViewId="0">
      <selection activeCell="E14" sqref="E14:F14"/>
    </sheetView>
  </sheetViews>
  <sheetFormatPr defaultColWidth="8.88671875" defaultRowHeight="14.4" x14ac:dyDescent="0.3"/>
  <cols>
    <col min="1" max="1" width="29" style="1" customWidth="1"/>
    <col min="2" max="2" width="23.109375" style="1" bestFit="1" customWidth="1"/>
    <col min="3" max="3" width="18.6640625" style="1" customWidth="1"/>
    <col min="4" max="4" width="12.5546875" style="1" customWidth="1"/>
    <col min="5" max="5" width="20.33203125" style="1" customWidth="1"/>
    <col min="6" max="6" width="30.33203125" style="1" customWidth="1"/>
    <col min="7" max="7" width="70.6640625" style="1" customWidth="1"/>
    <col min="8" max="8" width="13.6640625" style="1" customWidth="1"/>
    <col min="9" max="9" width="14.6640625" style="1" customWidth="1"/>
    <col min="10" max="16384" width="8.88671875" style="1"/>
  </cols>
  <sheetData>
    <row r="6" spans="1:8" ht="18" x14ac:dyDescent="0.35">
      <c r="A6" s="43" t="s">
        <v>25</v>
      </c>
      <c r="B6" s="43"/>
      <c r="C6" s="43"/>
      <c r="D6" s="43"/>
      <c r="E6" s="43"/>
      <c r="F6" s="43"/>
    </row>
    <row r="8" spans="1:8" x14ac:dyDescent="0.3">
      <c r="F8" s="23" t="s">
        <v>38</v>
      </c>
    </row>
    <row r="9" spans="1:8" ht="15" thickBot="1" x14ac:dyDescent="0.35">
      <c r="A9" s="48" t="s">
        <v>102</v>
      </c>
      <c r="B9" s="48"/>
      <c r="C9" s="48"/>
      <c r="D9" s="48"/>
      <c r="E9" s="48"/>
      <c r="F9" s="48"/>
      <c r="G9" s="2"/>
      <c r="H9" s="2"/>
    </row>
    <row r="10" spans="1:8" ht="52.2" customHeight="1" x14ac:dyDescent="0.3">
      <c r="A10" s="53" t="s">
        <v>0</v>
      </c>
      <c r="B10" s="54"/>
      <c r="C10" s="54"/>
      <c r="D10" s="54"/>
      <c r="E10" s="55" t="s">
        <v>113</v>
      </c>
      <c r="F10" s="56"/>
    </row>
    <row r="11" spans="1:8" x14ac:dyDescent="0.3">
      <c r="A11" s="49" t="s">
        <v>1</v>
      </c>
      <c r="B11" s="50"/>
      <c r="C11" s="50"/>
      <c r="D11" s="50"/>
      <c r="E11" s="46" t="s">
        <v>115</v>
      </c>
      <c r="F11" s="47"/>
    </row>
    <row r="12" spans="1:8" x14ac:dyDescent="0.3">
      <c r="A12" s="49" t="s">
        <v>2</v>
      </c>
      <c r="B12" s="50"/>
      <c r="C12" s="50"/>
      <c r="D12" s="50"/>
      <c r="E12" s="46" t="s">
        <v>116</v>
      </c>
      <c r="F12" s="47"/>
    </row>
    <row r="13" spans="1:8" x14ac:dyDescent="0.3">
      <c r="A13" s="49" t="s">
        <v>3</v>
      </c>
      <c r="B13" s="50"/>
      <c r="C13" s="50"/>
      <c r="D13" s="50"/>
      <c r="E13" s="7" t="s">
        <v>114</v>
      </c>
      <c r="F13" s="8" t="s">
        <v>110</v>
      </c>
    </row>
    <row r="14" spans="1:8" x14ac:dyDescent="0.3">
      <c r="A14" s="49" t="s">
        <v>4</v>
      </c>
      <c r="B14" s="50"/>
      <c r="C14" s="50"/>
      <c r="D14" s="50"/>
      <c r="E14" s="51" t="s">
        <v>130</v>
      </c>
      <c r="F14" s="52"/>
    </row>
    <row r="15" spans="1:8" x14ac:dyDescent="0.3">
      <c r="A15" s="57" t="s">
        <v>95</v>
      </c>
      <c r="B15" s="58"/>
      <c r="C15" s="58"/>
      <c r="D15" s="59"/>
      <c r="E15" s="60" t="s">
        <v>111</v>
      </c>
      <c r="F15" s="61"/>
      <c r="G15" s="1" t="s">
        <v>32</v>
      </c>
    </row>
    <row r="16" spans="1:8" x14ac:dyDescent="0.3">
      <c r="A16" s="49" t="s">
        <v>83</v>
      </c>
      <c r="B16" s="50"/>
      <c r="C16" s="50"/>
      <c r="D16" s="50"/>
      <c r="E16" s="69" t="s">
        <v>117</v>
      </c>
      <c r="F16" s="70"/>
    </row>
    <row r="17" spans="1:7" x14ac:dyDescent="0.3">
      <c r="A17" s="49" t="s">
        <v>85</v>
      </c>
      <c r="B17" s="50"/>
      <c r="C17" s="50"/>
      <c r="D17" s="50"/>
      <c r="E17" s="10"/>
      <c r="F17" s="9"/>
    </row>
    <row r="18" spans="1:7" ht="14.4" customHeight="1" x14ac:dyDescent="0.3">
      <c r="A18" s="49" t="s">
        <v>106</v>
      </c>
      <c r="B18" s="50"/>
      <c r="C18" s="50"/>
      <c r="D18" s="50"/>
      <c r="E18" s="11"/>
      <c r="F18" s="8"/>
    </row>
    <row r="19" spans="1:7" x14ac:dyDescent="0.3">
      <c r="A19" s="49" t="s">
        <v>86</v>
      </c>
      <c r="B19" s="50"/>
      <c r="C19" s="50"/>
      <c r="D19" s="50"/>
      <c r="E19" s="11"/>
      <c r="F19" s="8"/>
    </row>
    <row r="20" spans="1:7" ht="25.95" customHeight="1" x14ac:dyDescent="0.3">
      <c r="A20" s="44" t="s">
        <v>109</v>
      </c>
      <c r="B20" s="45"/>
      <c r="C20" s="45"/>
      <c r="D20" s="45"/>
      <c r="E20" s="46"/>
      <c r="F20" s="47"/>
      <c r="G20" s="1" t="s">
        <v>32</v>
      </c>
    </row>
    <row r="21" spans="1:7" x14ac:dyDescent="0.3">
      <c r="A21" s="49" t="s">
        <v>5</v>
      </c>
      <c r="B21" s="50"/>
      <c r="C21" s="50"/>
      <c r="D21" s="50"/>
      <c r="E21" s="46"/>
      <c r="F21" s="47"/>
    </row>
    <row r="22" spans="1:7" x14ac:dyDescent="0.3">
      <c r="A22" s="49" t="s">
        <v>93</v>
      </c>
      <c r="B22" s="50"/>
      <c r="C22" s="50"/>
      <c r="D22" s="50"/>
      <c r="E22" s="66"/>
      <c r="F22" s="67"/>
    </row>
    <row r="23" spans="1:7" x14ac:dyDescent="0.3">
      <c r="A23" s="49" t="s">
        <v>94</v>
      </c>
      <c r="B23" s="50"/>
      <c r="C23" s="50"/>
      <c r="D23" s="50"/>
      <c r="E23" s="68"/>
      <c r="F23" s="47"/>
    </row>
    <row r="24" spans="1:7" x14ac:dyDescent="0.3">
      <c r="A24" s="49" t="s">
        <v>6</v>
      </c>
      <c r="B24" s="50"/>
      <c r="C24" s="50"/>
      <c r="D24" s="50"/>
      <c r="E24" s="68"/>
      <c r="F24" s="47"/>
    </row>
    <row r="25" spans="1:7" x14ac:dyDescent="0.3">
      <c r="A25" s="49" t="s">
        <v>87</v>
      </c>
      <c r="B25" s="50"/>
      <c r="C25" s="50"/>
      <c r="D25" s="50"/>
      <c r="E25" s="77"/>
      <c r="F25" s="78"/>
    </row>
    <row r="26" spans="1:7" ht="15" thickBot="1" x14ac:dyDescent="0.35">
      <c r="A26" s="48" t="s">
        <v>103</v>
      </c>
      <c r="B26" s="48"/>
      <c r="C26" s="48"/>
      <c r="D26" s="48"/>
      <c r="E26" s="48"/>
      <c r="F26" s="48"/>
    </row>
    <row r="27" spans="1:7" x14ac:dyDescent="0.3">
      <c r="A27" s="49" t="s">
        <v>7</v>
      </c>
      <c r="B27" s="50"/>
      <c r="C27" s="50"/>
      <c r="D27" s="50"/>
      <c r="E27" s="79" t="s">
        <v>60</v>
      </c>
      <c r="F27" s="80"/>
      <c r="G27" s="1" t="s">
        <v>32</v>
      </c>
    </row>
    <row r="28" spans="1:7" ht="52.2" customHeight="1" x14ac:dyDescent="0.3">
      <c r="A28" s="49" t="s">
        <v>88</v>
      </c>
      <c r="B28" s="50"/>
      <c r="C28" s="50"/>
      <c r="D28" s="50"/>
      <c r="E28" s="64" t="s">
        <v>118</v>
      </c>
      <c r="F28" s="65"/>
    </row>
    <row r="29" spans="1:7" x14ac:dyDescent="0.3">
      <c r="A29" s="49" t="s">
        <v>8</v>
      </c>
      <c r="B29" s="50"/>
      <c r="C29" s="50"/>
      <c r="D29" s="50"/>
      <c r="E29" s="62" t="s">
        <v>112</v>
      </c>
      <c r="F29" s="63"/>
    </row>
    <row r="30" spans="1:7" x14ac:dyDescent="0.3">
      <c r="A30" s="49" t="s">
        <v>24</v>
      </c>
      <c r="B30" s="50"/>
      <c r="C30" s="50"/>
      <c r="D30" s="50"/>
      <c r="E30" s="81"/>
      <c r="F30" s="82"/>
    </row>
    <row r="31" spans="1:7" ht="28.95" customHeight="1" x14ac:dyDescent="0.3">
      <c r="A31" s="49" t="s">
        <v>89</v>
      </c>
      <c r="B31" s="50"/>
      <c r="C31" s="50"/>
      <c r="D31" s="50"/>
      <c r="E31" s="62"/>
      <c r="F31" s="63"/>
      <c r="G31" s="1" t="s">
        <v>32</v>
      </c>
    </row>
    <row r="32" spans="1:7" ht="15" thickBot="1" x14ac:dyDescent="0.35">
      <c r="A32" s="48" t="s">
        <v>104</v>
      </c>
      <c r="B32" s="48"/>
      <c r="C32" s="48"/>
      <c r="D32" s="48"/>
      <c r="E32" s="48"/>
      <c r="F32" s="48"/>
    </row>
    <row r="33" spans="1:10" x14ac:dyDescent="0.3">
      <c r="A33" s="75" t="s">
        <v>37</v>
      </c>
      <c r="B33" s="76"/>
      <c r="C33" s="76"/>
      <c r="D33" s="76"/>
      <c r="E33" s="46" t="s">
        <v>34</v>
      </c>
      <c r="F33" s="47"/>
      <c r="G33" s="1" t="s">
        <v>32</v>
      </c>
    </row>
    <row r="34" spans="1:10" ht="14.4" customHeight="1" x14ac:dyDescent="0.3">
      <c r="A34" s="84" t="s">
        <v>9</v>
      </c>
      <c r="B34" s="85"/>
      <c r="C34" s="85"/>
      <c r="D34" s="85"/>
      <c r="E34" s="46" t="s">
        <v>18</v>
      </c>
      <c r="F34" s="47"/>
      <c r="G34" s="1" t="s">
        <v>32</v>
      </c>
    </row>
    <row r="35" spans="1:10" x14ac:dyDescent="0.3">
      <c r="A35" s="84"/>
      <c r="B35" s="85"/>
      <c r="C35" s="85"/>
      <c r="D35" s="85"/>
      <c r="E35" s="62"/>
      <c r="F35" s="63"/>
    </row>
    <row r="36" spans="1:10" ht="22.2" customHeight="1" x14ac:dyDescent="0.3">
      <c r="A36" s="84"/>
      <c r="B36" s="85"/>
      <c r="C36" s="85"/>
      <c r="D36" s="85"/>
      <c r="E36" s="62"/>
      <c r="F36" s="63"/>
      <c r="G36" s="1" t="s">
        <v>84</v>
      </c>
    </row>
    <row r="37" spans="1:10" ht="24" customHeight="1" x14ac:dyDescent="0.3">
      <c r="A37" s="75" t="s">
        <v>10</v>
      </c>
      <c r="B37" s="76"/>
      <c r="C37" s="76"/>
      <c r="D37" s="76"/>
      <c r="E37" s="62" t="s">
        <v>18</v>
      </c>
      <c r="F37" s="63"/>
      <c r="G37" s="1" t="s">
        <v>32</v>
      </c>
    </row>
    <row r="38" spans="1:10" ht="21" customHeight="1" thickBot="1" x14ac:dyDescent="0.35">
      <c r="A38" s="86" t="s">
        <v>11</v>
      </c>
      <c r="B38" s="87"/>
      <c r="C38" s="87"/>
      <c r="D38" s="87"/>
      <c r="E38" s="62"/>
      <c r="F38" s="63"/>
    </row>
    <row r="39" spans="1:10" ht="56.4" customHeight="1" x14ac:dyDescent="0.3">
      <c r="A39" s="73" t="s">
        <v>65</v>
      </c>
      <c r="B39" s="74"/>
      <c r="C39" s="74"/>
    </row>
    <row r="40" spans="1:10" ht="21" customHeight="1" x14ac:dyDescent="0.3">
      <c r="A40" s="37" t="s">
        <v>120</v>
      </c>
      <c r="B40" s="36"/>
      <c r="C40" s="36"/>
      <c r="D40" s="36"/>
      <c r="E40" s="36"/>
      <c r="F40" s="36"/>
      <c r="G40" s="36"/>
      <c r="H40" s="35"/>
      <c r="I40" s="35"/>
      <c r="J40" s="35"/>
    </row>
    <row r="41" spans="1:10" ht="18" customHeight="1" x14ac:dyDescent="0.3">
      <c r="A41" s="38" t="s">
        <v>121</v>
      </c>
      <c r="B41" s="40" t="s">
        <v>122</v>
      </c>
      <c r="C41" s="39" t="s">
        <v>123</v>
      </c>
      <c r="D41" s="38" t="s">
        <v>124</v>
      </c>
      <c r="E41" s="38" t="s">
        <v>125</v>
      </c>
      <c r="F41" s="38" t="s">
        <v>126</v>
      </c>
      <c r="G41" s="36"/>
      <c r="H41" s="35"/>
      <c r="I41" s="35"/>
      <c r="J41" s="35"/>
    </row>
    <row r="42" spans="1:10" s="37" customFormat="1" ht="18" customHeight="1" x14ac:dyDescent="0.3">
      <c r="A42" s="38" t="s">
        <v>117</v>
      </c>
      <c r="B42" s="40"/>
      <c r="C42" s="39"/>
      <c r="D42" s="38"/>
      <c r="E42" s="42">
        <v>0.5</v>
      </c>
      <c r="F42" s="38" t="s">
        <v>129</v>
      </c>
      <c r="G42" s="36"/>
    </row>
    <row r="43" spans="1:10" x14ac:dyDescent="0.3">
      <c r="A43" s="38" t="s">
        <v>127</v>
      </c>
      <c r="B43" s="40"/>
      <c r="C43" s="41"/>
      <c r="D43" s="38"/>
      <c r="E43" s="42">
        <v>0.5</v>
      </c>
      <c r="F43" s="38" t="s">
        <v>128</v>
      </c>
      <c r="G43" s="36"/>
      <c r="H43" s="35"/>
      <c r="I43" s="35"/>
      <c r="J43" s="35"/>
    </row>
    <row r="44" spans="1:10" x14ac:dyDescent="0.3">
      <c r="A44" s="88" t="str">
        <f>IF(OR(E33=Radno!A15,E33=Radno!A16),"Popunite stvarne vlasnike:", IF(E15=Radno!E2,"Navedite druge delatnosti kojima se preduzeće bavi:", IF(Zahtev!E20=Radno!E2,"Popunite podatke o ostalim zastupnicima:","Potpisivanjem ovog zahteva potvrđujem verodostojnost unetih podataka")))</f>
        <v>Potpisivanjem ovog zahteva potvrđujem verodostojnost unetih podataka</v>
      </c>
      <c r="B44" s="88"/>
      <c r="C44" s="88"/>
      <c r="D44" s="71"/>
      <c r="E44" s="71"/>
      <c r="F44" s="71"/>
    </row>
    <row r="45" spans="1:10" x14ac:dyDescent="0.3">
      <c r="A45" s="6" t="str">
        <f>IF(A44="Popunite stvarne vlasnike:","Ime i prezime",IF(A44="Navedite druge delatnosti kojima se preduzeće bavi:","Opis delatnosti:",IF(A44="Popunite podatke o ostalim zastupnicima:","Ime i prezime",IF(A44="Potpisivanjem ovog zahteva potvrđujem verodostojnost unetih podataka","Mesto i datum podnošenja zahteva",""))))</f>
        <v>Mesto i datum podnošenja zahteva</v>
      </c>
      <c r="B45" s="6" t="str">
        <f>IF(A44="Popunite stvarne vlasnike:", "Adresa i mesto prebivališta","")</f>
        <v/>
      </c>
      <c r="C45" s="6" t="str">
        <f>IF(A44="Popunite stvarne vlasnike:", "Datum rođenja","")</f>
        <v/>
      </c>
      <c r="D45" s="6" t="str">
        <f>IF(A44="Popunite stvarne vlasnike:", "Državljanstvo","")</f>
        <v/>
      </c>
      <c r="E45" s="6" t="str">
        <f>IF(A44="Popunite stvarne vlasnike:", "Vlasnički udeo %","")</f>
        <v/>
      </c>
      <c r="F45" s="6" t="str">
        <f>IF(A44="Popunite stvarne vlasnike:", "Funkcija","")</f>
        <v/>
      </c>
    </row>
    <row r="46" spans="1:10" x14ac:dyDescent="0.3">
      <c r="A46" s="12"/>
      <c r="B46" s="12"/>
      <c r="C46" s="13"/>
      <c r="D46" s="12"/>
      <c r="E46" s="14"/>
      <c r="F46" s="12"/>
    </row>
    <row r="47" spans="1:10" x14ac:dyDescent="0.3">
      <c r="A47" s="12"/>
      <c r="B47" s="12"/>
      <c r="C47" s="13"/>
      <c r="D47" s="12"/>
      <c r="E47" s="14"/>
      <c r="F47" s="12"/>
    </row>
    <row r="48" spans="1:10" x14ac:dyDescent="0.3">
      <c r="A48" s="12"/>
      <c r="B48" s="12"/>
      <c r="C48" s="13"/>
      <c r="D48" s="12"/>
      <c r="E48" s="14"/>
      <c r="F48" s="12"/>
    </row>
    <row r="49" spans="1:6" x14ac:dyDescent="0.3">
      <c r="A49" s="12"/>
      <c r="B49" s="12"/>
      <c r="C49" s="13"/>
      <c r="D49" s="12"/>
      <c r="E49" s="14"/>
      <c r="F49" s="12"/>
    </row>
    <row r="50" spans="1:6" x14ac:dyDescent="0.3">
      <c r="A50" s="88" t="str">
        <f>IF(AND(A44="Popunite stvarne vlasnike:",E15=Radno!E2),"Navedite druge delatnosti kojima se preduzeće bavi:",IF(AND(Zahtev!A44="Popunite stvarne vlasnike:",Zahtev!E20=Radno!E2),"Popunite podatke o ostalim zastupnicima:",IF(AND(A44="Navedite druge delatnosti kojima se preduzeće bavi:",E20=Radno!E2),"Popunite podatke o ostalim zastupnicima:",IF(A44="Potpisivanjem ovog zahteva potvrđujem verodostojnost unetih podataka","","Potpisivanjem ovog zahteva potvrđujem verodostojnost uneti podataka"))))</f>
        <v/>
      </c>
      <c r="B50" s="88"/>
      <c r="C50" s="88"/>
      <c r="D50" s="89"/>
      <c r="E50" s="89"/>
      <c r="F50" s="89"/>
    </row>
    <row r="51" spans="1:6" x14ac:dyDescent="0.3">
      <c r="A51" s="6" t="str">
        <f>IF(A50="Navedite druge delatnosti kojima se preduzeće bavi:","Opis delatnosti",IF(A50="Popunite podatke o ostalim zastupnicima:","Ime i prezime",IF(A50="Potpisivanjem ovog zahteva potvrđujem verodostojnost uneti podataka","Mesto i datum ponošenja zahteva","")))</f>
        <v/>
      </c>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C56" s="4"/>
      <c r="D56" s="5"/>
      <c r="E56" s="72" t="str">
        <f>IF(A50="Mesto i datum podnošenja zahteva:", "Potpis lica ovlašćenog za zastupanje pravnog  lica/preduzetnika","")</f>
        <v/>
      </c>
      <c r="F56" s="72"/>
    </row>
    <row r="57" spans="1:6" x14ac:dyDescent="0.3">
      <c r="A57" s="88" t="str">
        <f>IF(AND(A50="Navedite druge delatnosti kojima se preduzeće bavi:",E20=Radno!E2),"Popunite podatke o ostalim zastupnicima:",IF(A50="Popunite podatke o ostalim zastupnicima:","Potpisivanjem ovog zahteva potvrđujem verodostojnost unetih podataka",IF(AND(A50="Navedite druge delatnosti kojima se preduzeće bavi:",E20=Radno!E3),"Potpisivanjem ovog zahteva potvrđujem verodostojnost unetih podataka",IF(A50="Potpisivanjem ovog zahteva potvrđujem verodostojnost unetih podataka","",""))))</f>
        <v/>
      </c>
      <c r="B57" s="88"/>
      <c r="C57" s="88"/>
    </row>
    <row r="58" spans="1:6" x14ac:dyDescent="0.3">
      <c r="A58" s="6" t="str">
        <f>IF(A57="Popunite podatke o ostalim zastupnicima:","Ime i prezime",IF(A57="Potpisivanjem ovog zahteva potvrđujem verodostojnost unetih podataka","Mesto i datum ponošenja zahteva",""))</f>
        <v/>
      </c>
      <c r="B58" s="6"/>
      <c r="E58" s="6"/>
      <c r="F58" s="6"/>
    </row>
    <row r="59" spans="1:6" x14ac:dyDescent="0.3">
      <c r="A59" s="12"/>
      <c r="B59" s="12"/>
      <c r="C59" s="13"/>
      <c r="D59" s="12"/>
      <c r="E59" s="12"/>
      <c r="F59" s="12"/>
    </row>
    <row r="60" spans="1:6" x14ac:dyDescent="0.3">
      <c r="A60" s="12"/>
      <c r="B60" s="12"/>
      <c r="C60" s="12"/>
      <c r="D60" s="12"/>
      <c r="E60" s="12"/>
      <c r="F60" s="12"/>
    </row>
    <row r="61" spans="1:6" x14ac:dyDescent="0.3">
      <c r="A61" s="12"/>
      <c r="B61" s="12"/>
      <c r="C61" s="12"/>
      <c r="D61" s="12"/>
      <c r="E61" s="12"/>
      <c r="F61" s="12"/>
    </row>
    <row r="62" spans="1:6" x14ac:dyDescent="0.3">
      <c r="A62" s="12"/>
      <c r="B62" s="12"/>
      <c r="C62" s="12"/>
      <c r="D62" s="12"/>
      <c r="E62" s="12"/>
      <c r="F62" s="12"/>
    </row>
    <row r="63" spans="1:6" x14ac:dyDescent="0.3">
      <c r="A63" s="12"/>
      <c r="B63" s="12"/>
      <c r="C63" s="12"/>
      <c r="D63" s="12"/>
      <c r="E63" s="12"/>
      <c r="F63" s="12"/>
    </row>
    <row r="64" spans="1:6" x14ac:dyDescent="0.3">
      <c r="A64" s="89"/>
      <c r="B64" s="89"/>
      <c r="C64" s="89"/>
    </row>
    <row r="65" spans="1:6" x14ac:dyDescent="0.3">
      <c r="A65" s="88" t="str">
        <f>IF(AND(A50="Navedite druge delatnosti kojima se preduzeće bavi:",A57="Popunite podatke o ostalim zastupnicima:"),"Potpisivanjem ovog zahteva potvrđujem verodostojnost unetih podataka.","")</f>
        <v/>
      </c>
      <c r="B65" s="88"/>
      <c r="C65" s="88"/>
    </row>
    <row r="66" spans="1:6" x14ac:dyDescent="0.3">
      <c r="A66" s="3" t="str">
        <f>IF(A65="Potpisivanjem ovog zahteva potvrđujem verodostojnost unetih podataka.", "Mesto i datum ponošenja zahteva","")</f>
        <v/>
      </c>
      <c r="B66" s="3"/>
      <c r="C66" s="3"/>
    </row>
    <row r="67" spans="1:6" x14ac:dyDescent="0.3">
      <c r="A67" s="88"/>
      <c r="B67" s="88"/>
      <c r="C67" s="88"/>
    </row>
    <row r="68" spans="1:6" x14ac:dyDescent="0.3">
      <c r="D68" s="90" t="str">
        <f>IF(E56="Potpis lica ovlašćenog za zastupanje pravnog  lica/preduzetnika","","Potpis lica ovlašćenog za zastupanje pravnog  lica/preduzetnika")</f>
        <v>Potpis lica ovlašćenog za zastupanje pravnog  lica/preduzetnika</v>
      </c>
      <c r="E68" s="90"/>
      <c r="F68" s="90"/>
    </row>
    <row r="69" spans="1:6" ht="52.2" customHeight="1" x14ac:dyDescent="0.3">
      <c r="D69" s="83"/>
      <c r="E69" s="83"/>
      <c r="F69" s="83"/>
    </row>
  </sheetData>
  <mergeCells count="63">
    <mergeCell ref="D69:F69"/>
    <mergeCell ref="A34:D36"/>
    <mergeCell ref="A37:D37"/>
    <mergeCell ref="A38:D38"/>
    <mergeCell ref="E34:F34"/>
    <mergeCell ref="E35:F36"/>
    <mergeCell ref="E38:F38"/>
    <mergeCell ref="E37:F37"/>
    <mergeCell ref="A50:C50"/>
    <mergeCell ref="D50:F50"/>
    <mergeCell ref="A64:C64"/>
    <mergeCell ref="A65:C65"/>
    <mergeCell ref="A67:C67"/>
    <mergeCell ref="D68:F68"/>
    <mergeCell ref="A57:C57"/>
    <mergeCell ref="A44:C44"/>
    <mergeCell ref="D44:F44"/>
    <mergeCell ref="E56:F56"/>
    <mergeCell ref="A39:C39"/>
    <mergeCell ref="A26:F26"/>
    <mergeCell ref="A21:D21"/>
    <mergeCell ref="E33:F33"/>
    <mergeCell ref="A33:D33"/>
    <mergeCell ref="A25:D25"/>
    <mergeCell ref="E25:F25"/>
    <mergeCell ref="E27:F27"/>
    <mergeCell ref="E30:F30"/>
    <mergeCell ref="A22:D22"/>
    <mergeCell ref="A23:D23"/>
    <mergeCell ref="A32:F32"/>
    <mergeCell ref="A27:D27"/>
    <mergeCell ref="A28:D28"/>
    <mergeCell ref="A24:D24"/>
    <mergeCell ref="A16:D16"/>
    <mergeCell ref="A17:D17"/>
    <mergeCell ref="E21:F21"/>
    <mergeCell ref="E22:F22"/>
    <mergeCell ref="E23:F23"/>
    <mergeCell ref="E24:F24"/>
    <mergeCell ref="A19:D19"/>
    <mergeCell ref="E16:F16"/>
    <mergeCell ref="A30:D30"/>
    <mergeCell ref="A31:D31"/>
    <mergeCell ref="E31:F31"/>
    <mergeCell ref="E29:F29"/>
    <mergeCell ref="E28:F28"/>
    <mergeCell ref="A29:D29"/>
    <mergeCell ref="A6:F6"/>
    <mergeCell ref="A20:D20"/>
    <mergeCell ref="E20:F20"/>
    <mergeCell ref="A9:F9"/>
    <mergeCell ref="E11:F11"/>
    <mergeCell ref="E12:F12"/>
    <mergeCell ref="A12:D12"/>
    <mergeCell ref="A13:D13"/>
    <mergeCell ref="A14:D14"/>
    <mergeCell ref="E14:F14"/>
    <mergeCell ref="A10:D10"/>
    <mergeCell ref="A11:D11"/>
    <mergeCell ref="E10:F10"/>
    <mergeCell ref="A18:D18"/>
    <mergeCell ref="A15:D15"/>
    <mergeCell ref="E15:F15"/>
  </mergeCells>
  <conditionalFormatting sqref="A44 D44">
    <cfRule type="notContainsBlanks" dxfId="8" priority="4">
      <formula>LEN(TRIM(A44))&gt;0</formula>
    </cfRule>
    <cfRule type="notContainsBlanks" dxfId="7" priority="5">
      <formula>LEN(TRIM(A44))&gt;0</formula>
    </cfRule>
  </conditionalFormatting>
  <conditionalFormatting sqref="A50">
    <cfRule type="notContainsBlanks" dxfId="6" priority="2">
      <formula>LEN(TRIM(A50))&gt;0</formula>
    </cfRule>
    <cfRule type="notContainsBlanks" dxfId="5" priority="3">
      <formula>LEN(TRIM(A50))&gt;0</formula>
    </cfRule>
  </conditionalFormatting>
  <conditionalFormatting sqref="A56:E56 A57:A58 A59:F59 E60:F60 A61:F63 A64:A67 D64:F67">
    <cfRule type="notContainsBlanks" dxfId="4" priority="13">
      <formula>LEN(TRIM(A56))&gt;0</formula>
    </cfRule>
  </conditionalFormatting>
  <conditionalFormatting sqref="A45:F49">
    <cfRule type="notContainsBlanks" dxfId="3" priority="8">
      <formula>LEN(TRIM(A45))&gt;0</formula>
    </cfRule>
  </conditionalFormatting>
  <conditionalFormatting sqref="A51:F51">
    <cfRule type="notContainsBlanks" dxfId="2" priority="6">
      <formula>LEN(TRIM(A51))&gt;0</formula>
    </cfRule>
  </conditionalFormatting>
  <conditionalFormatting sqref="A53:F55 A56:E56 A57:A58">
    <cfRule type="notContainsBlanks" dxfId="1" priority="7">
      <formula>LEN(TRIM(A53))&gt;0</formula>
    </cfRule>
  </conditionalFormatting>
  <conditionalFormatting sqref="B58:F58">
    <cfRule type="notContainsBlanks" dxfId="0" priority="1">
      <formula>LEN(TRIM(B58))&gt;0</formula>
    </cfRule>
  </conditionalFormatting>
  <dataValidations count="7">
    <dataValidation type="list" allowBlank="1" showInputMessage="1" showErrorMessage="1" sqref="E27:F27">
      <formula1>Osnovi</formula1>
    </dataValidation>
    <dataValidation type="list" allowBlank="1" showInputMessage="1" showErrorMessage="1" sqref="E31:F31">
      <formula1>Pečat</formula1>
    </dataValidation>
    <dataValidation type="list" allowBlank="1" showInputMessage="1" showErrorMessage="1" sqref="E15:F15 E37:F37 E20:F20">
      <formula1>DaNe</formula1>
    </dataValidation>
    <dataValidation type="list" allowBlank="1" showInputMessage="1" showErrorMessage="1" sqref="E35:F36">
      <formula1>INDIRECT($E$34)</formula1>
    </dataValidation>
    <dataValidation type="list" allowBlank="1" showInputMessage="1" showErrorMessage="1" sqref="E18">
      <formula1>Dokument</formula1>
    </dataValidation>
    <dataValidation type="list" allowBlank="1" showInputMessage="1" showErrorMessage="1" sqref="E34:F34">
      <formula1>NeDa</formula1>
    </dataValidation>
    <dataValidation type="list" allowBlank="1" showInputMessage="1" showErrorMessage="1" sqref="E33:F33">
      <formula1>Vlasnik</formula1>
    </dataValidation>
  </dataValidations>
  <hyperlinks>
    <hyperlink ref="A20:D20" location="'Ostali zastupnici'!A1" display="Da li ima više ovlašćenih lica za zastupanje (ukoliko ima uneti podatke o ostalim zastupnicima u poseban prilog) "/>
  </hyperlinks>
  <pageMargins left="0.70866141732283472" right="0.70866141732283472" top="0.35433070866141736" bottom="0.35433070866141736"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H39"/>
  <sheetViews>
    <sheetView showGridLines="0" view="pageBreakPreview" topLeftCell="A10" zoomScaleNormal="100" zoomScaleSheetLayoutView="100" workbookViewId="0">
      <selection activeCell="G44" sqref="G44"/>
    </sheetView>
  </sheetViews>
  <sheetFormatPr defaultColWidth="8.88671875" defaultRowHeight="14.4" x14ac:dyDescent="0.3"/>
  <cols>
    <col min="1" max="1" width="6.44140625" customWidth="1"/>
    <col min="2" max="2" width="49.5546875" customWidth="1"/>
    <col min="3" max="3" width="11" customWidth="1"/>
    <col min="4" max="4" width="12.5546875" customWidth="1"/>
    <col min="5" max="5" width="6.33203125" customWidth="1"/>
    <col min="7" max="8" width="8.88671875" customWidth="1"/>
  </cols>
  <sheetData>
    <row r="1" spans="2:8" s="1" customFormat="1" x14ac:dyDescent="0.3"/>
    <row r="2" spans="2:8" s="1" customFormat="1" x14ac:dyDescent="0.3"/>
    <row r="3" spans="2:8" s="1" customFormat="1" x14ac:dyDescent="0.3"/>
    <row r="4" spans="2:8" s="1" customFormat="1" ht="18" x14ac:dyDescent="0.35">
      <c r="B4" s="43"/>
      <c r="C4" s="43"/>
      <c r="D4" s="43"/>
      <c r="E4" s="43"/>
      <c r="F4" s="43"/>
      <c r="G4" s="43"/>
    </row>
    <row r="5" spans="2:8" x14ac:dyDescent="0.3">
      <c r="B5" s="1"/>
      <c r="C5" s="1"/>
      <c r="D5" s="1"/>
      <c r="E5" s="1"/>
      <c r="F5" s="1"/>
      <c r="G5" s="1"/>
      <c r="H5" s="15" t="s">
        <v>59</v>
      </c>
    </row>
    <row r="6" spans="2:8" ht="26.4" customHeight="1" x14ac:dyDescent="0.3">
      <c r="B6" s="102" t="s">
        <v>80</v>
      </c>
      <c r="C6" s="103"/>
      <c r="D6" s="103"/>
      <c r="E6" s="103"/>
      <c r="F6" s="103"/>
      <c r="G6" s="103"/>
      <c r="H6" s="104"/>
    </row>
    <row r="7" spans="2:8" ht="19.95" customHeight="1" x14ac:dyDescent="0.3">
      <c r="B7" s="113" t="s">
        <v>39</v>
      </c>
      <c r="C7" s="114"/>
      <c r="D7" s="114"/>
      <c r="E7" s="114"/>
      <c r="F7" s="114"/>
      <c r="G7" s="114"/>
      <c r="H7" s="115"/>
    </row>
    <row r="8" spans="2:8" ht="18.600000000000001" customHeight="1" x14ac:dyDescent="0.3">
      <c r="B8" s="116" t="s">
        <v>40</v>
      </c>
      <c r="C8" s="117"/>
      <c r="D8" s="117"/>
      <c r="E8" s="117"/>
      <c r="F8" s="117"/>
      <c r="G8" s="117"/>
      <c r="H8" s="118"/>
    </row>
    <row r="9" spans="2:8" ht="24" customHeight="1" x14ac:dyDescent="0.3">
      <c r="B9" s="119" t="s">
        <v>41</v>
      </c>
      <c r="C9" s="120"/>
      <c r="D9" s="120"/>
      <c r="E9" s="120"/>
      <c r="F9" s="120"/>
      <c r="G9" s="120"/>
      <c r="H9" s="121"/>
    </row>
    <row r="10" spans="2:8" ht="24" customHeight="1" x14ac:dyDescent="0.3">
      <c r="B10" s="102" t="s">
        <v>79</v>
      </c>
      <c r="C10" s="103"/>
      <c r="D10" s="103"/>
      <c r="E10" s="103"/>
      <c r="F10" s="103"/>
      <c r="G10" s="103"/>
      <c r="H10" s="104"/>
    </row>
    <row r="11" spans="2:8" ht="21" customHeight="1" x14ac:dyDescent="0.3">
      <c r="B11" s="16" t="s">
        <v>90</v>
      </c>
      <c r="C11" s="105"/>
      <c r="D11" s="105"/>
      <c r="E11" s="105"/>
      <c r="F11" s="105"/>
      <c r="G11" s="105"/>
      <c r="H11" s="106"/>
    </row>
    <row r="12" spans="2:8" ht="22.95" customHeight="1" x14ac:dyDescent="0.3">
      <c r="B12" s="17" t="s">
        <v>91</v>
      </c>
      <c r="C12" s="107"/>
      <c r="D12" s="107"/>
      <c r="E12" s="107"/>
      <c r="F12" s="107"/>
      <c r="G12" s="107"/>
      <c r="H12" s="108"/>
    </row>
    <row r="13" spans="2:8" ht="21.6" customHeight="1" x14ac:dyDescent="0.3">
      <c r="B13" s="17" t="s">
        <v>92</v>
      </c>
      <c r="C13" s="109"/>
      <c r="D13" s="110"/>
      <c r="E13" s="110"/>
      <c r="F13" s="110"/>
      <c r="G13" s="110"/>
      <c r="H13" s="111"/>
    </row>
    <row r="14" spans="2:8" ht="30" customHeight="1" x14ac:dyDescent="0.3">
      <c r="B14" s="17" t="s">
        <v>42</v>
      </c>
      <c r="C14" s="112"/>
      <c r="D14" s="93"/>
      <c r="E14" s="93"/>
      <c r="F14" s="93"/>
      <c r="G14" s="93"/>
      <c r="H14" s="94"/>
    </row>
    <row r="15" spans="2:8" ht="30" customHeight="1" x14ac:dyDescent="0.3">
      <c r="B15" s="17" t="s">
        <v>43</v>
      </c>
      <c r="C15" s="93"/>
      <c r="D15" s="93"/>
      <c r="E15" s="93"/>
      <c r="F15" s="93"/>
      <c r="G15" s="93"/>
      <c r="H15" s="94"/>
    </row>
    <row r="16" spans="2:8" ht="30" customHeight="1" x14ac:dyDescent="0.3">
      <c r="B16" s="17" t="s">
        <v>44</v>
      </c>
      <c r="C16" s="93"/>
      <c r="D16" s="93"/>
      <c r="E16" s="93"/>
      <c r="F16" s="93"/>
      <c r="G16" s="93"/>
      <c r="H16" s="94"/>
    </row>
    <row r="17" spans="2:8" ht="30" customHeight="1" x14ac:dyDescent="0.3">
      <c r="B17" s="17" t="s">
        <v>45</v>
      </c>
      <c r="C17" s="93"/>
      <c r="D17" s="93"/>
      <c r="E17" s="93"/>
      <c r="F17" s="93"/>
      <c r="G17" s="93"/>
      <c r="H17" s="94"/>
    </row>
    <row r="18" spans="2:8" ht="21" customHeight="1" x14ac:dyDescent="0.3">
      <c r="B18" s="17" t="s">
        <v>46</v>
      </c>
      <c r="C18" s="93"/>
      <c r="D18" s="93"/>
      <c r="E18" s="93"/>
      <c r="F18" s="93"/>
      <c r="G18" s="93"/>
      <c r="H18" s="94"/>
    </row>
    <row r="19" spans="2:8" ht="30" customHeight="1" x14ac:dyDescent="0.3">
      <c r="B19" s="17" t="s">
        <v>47</v>
      </c>
      <c r="C19" s="93"/>
      <c r="D19" s="93"/>
      <c r="E19" s="93"/>
      <c r="F19" s="93"/>
      <c r="G19" s="93"/>
      <c r="H19" s="94"/>
    </row>
    <row r="20" spans="2:8" ht="30" customHeight="1" x14ac:dyDescent="0.3">
      <c r="B20" s="17" t="s">
        <v>48</v>
      </c>
      <c r="C20" s="93"/>
      <c r="D20" s="93"/>
      <c r="E20" s="93"/>
      <c r="F20" s="93"/>
      <c r="G20" s="93"/>
      <c r="H20" s="94"/>
    </row>
    <row r="21" spans="2:8" ht="30" customHeight="1" x14ac:dyDescent="0.3">
      <c r="B21" s="17" t="s">
        <v>49</v>
      </c>
      <c r="C21" s="93"/>
      <c r="D21" s="93"/>
      <c r="E21" s="93"/>
      <c r="F21" s="93"/>
      <c r="G21" s="93"/>
      <c r="H21" s="94"/>
    </row>
    <row r="22" spans="2:8" ht="23.4" customHeight="1" x14ac:dyDescent="0.3">
      <c r="B22" s="17" t="s">
        <v>50</v>
      </c>
      <c r="C22" s="93"/>
      <c r="D22" s="93"/>
      <c r="E22" s="93"/>
      <c r="F22" s="93"/>
      <c r="G22" s="93"/>
      <c r="H22" s="94"/>
    </row>
    <row r="23" spans="2:8" ht="24" customHeight="1" x14ac:dyDescent="0.3">
      <c r="B23" s="17" t="s">
        <v>51</v>
      </c>
      <c r="C23" s="93"/>
      <c r="D23" s="93"/>
      <c r="E23" s="93"/>
      <c r="F23" s="93"/>
      <c r="G23" s="93"/>
      <c r="H23" s="94"/>
    </row>
    <row r="24" spans="2:8" ht="24.6" customHeight="1" x14ac:dyDescent="0.3">
      <c r="B24" s="17" t="s">
        <v>52</v>
      </c>
      <c r="C24" s="93"/>
      <c r="D24" s="93"/>
      <c r="E24" s="93"/>
      <c r="F24" s="93"/>
      <c r="G24" s="93"/>
      <c r="H24" s="94"/>
    </row>
    <row r="25" spans="2:8" ht="25.95" customHeight="1" x14ac:dyDescent="0.3">
      <c r="B25" s="17" t="s">
        <v>53</v>
      </c>
      <c r="C25" s="93"/>
      <c r="D25" s="93"/>
      <c r="E25" s="93"/>
      <c r="F25" s="93"/>
      <c r="G25" s="93"/>
      <c r="H25" s="94"/>
    </row>
    <row r="26" spans="2:8" ht="20.399999999999999" customHeight="1" x14ac:dyDescent="0.3">
      <c r="B26" s="17" t="s">
        <v>54</v>
      </c>
      <c r="C26" s="93"/>
      <c r="D26" s="93"/>
      <c r="E26" s="93"/>
      <c r="F26" s="93"/>
      <c r="G26" s="93"/>
      <c r="H26" s="94"/>
    </row>
    <row r="27" spans="2:8" ht="30" customHeight="1" x14ac:dyDescent="0.3">
      <c r="B27" s="17" t="s">
        <v>55</v>
      </c>
      <c r="C27" s="93"/>
      <c r="D27" s="93"/>
      <c r="E27" s="93"/>
      <c r="F27" s="93"/>
      <c r="G27" s="93"/>
      <c r="H27" s="94"/>
    </row>
    <row r="28" spans="2:8" ht="30" customHeight="1" x14ac:dyDescent="0.3">
      <c r="B28" s="17" t="s">
        <v>56</v>
      </c>
      <c r="C28" s="93"/>
      <c r="D28" s="93"/>
      <c r="E28" s="93"/>
      <c r="F28" s="93"/>
      <c r="G28" s="93"/>
      <c r="H28" s="94"/>
    </row>
    <row r="29" spans="2:8" ht="21" customHeight="1" x14ac:dyDescent="0.3">
      <c r="B29" s="18" t="s">
        <v>57</v>
      </c>
      <c r="C29" s="18" t="s">
        <v>81</v>
      </c>
      <c r="D29" s="95"/>
      <c r="E29" s="96"/>
      <c r="F29" s="18" t="s">
        <v>82</v>
      </c>
      <c r="G29" s="95"/>
      <c r="H29" s="97"/>
    </row>
    <row r="30" spans="2:8" x14ac:dyDescent="0.3">
      <c r="B30" s="19" t="s">
        <v>58</v>
      </c>
      <c r="C30" s="20"/>
      <c r="D30" s="20"/>
      <c r="E30" s="21"/>
      <c r="F30" s="21"/>
      <c r="G30" s="21"/>
      <c r="H30" s="22"/>
    </row>
    <row r="31" spans="2:8" ht="14.4" customHeight="1" x14ac:dyDescent="0.3">
      <c r="B31" s="98" t="s">
        <v>119</v>
      </c>
      <c r="C31" s="98"/>
      <c r="D31" s="98"/>
      <c r="E31" s="98"/>
      <c r="F31" s="98"/>
      <c r="G31" s="98"/>
      <c r="H31" s="99"/>
    </row>
    <row r="32" spans="2:8" x14ac:dyDescent="0.3">
      <c r="B32" s="98"/>
      <c r="C32" s="98"/>
      <c r="D32" s="98"/>
      <c r="E32" s="98"/>
      <c r="F32" s="98"/>
      <c r="G32" s="98"/>
      <c r="H32" s="99"/>
    </row>
    <row r="33" spans="2:8" x14ac:dyDescent="0.3">
      <c r="B33" s="98"/>
      <c r="C33" s="98"/>
      <c r="D33" s="98"/>
      <c r="E33" s="98"/>
      <c r="F33" s="98"/>
      <c r="G33" s="98"/>
      <c r="H33" s="99"/>
    </row>
    <row r="34" spans="2:8" x14ac:dyDescent="0.3">
      <c r="B34" s="98"/>
      <c r="C34" s="98"/>
      <c r="D34" s="98"/>
      <c r="E34" s="98"/>
      <c r="F34" s="98"/>
      <c r="G34" s="98"/>
      <c r="H34" s="99"/>
    </row>
    <row r="35" spans="2:8" x14ac:dyDescent="0.3">
      <c r="B35" s="98"/>
      <c r="C35" s="98"/>
      <c r="D35" s="98"/>
      <c r="E35" s="98"/>
      <c r="F35" s="98"/>
      <c r="G35" s="98"/>
      <c r="H35" s="99"/>
    </row>
    <row r="36" spans="2:8" x14ac:dyDescent="0.3">
      <c r="B36" s="98"/>
      <c r="C36" s="98"/>
      <c r="D36" s="98"/>
      <c r="E36" s="98"/>
      <c r="F36" s="98"/>
      <c r="G36" s="98"/>
      <c r="H36" s="99"/>
    </row>
    <row r="37" spans="2:8" x14ac:dyDescent="0.3">
      <c r="B37" s="100"/>
      <c r="C37" s="100"/>
      <c r="D37" s="100"/>
      <c r="E37" s="100"/>
      <c r="F37" s="100"/>
      <c r="G37" s="100"/>
      <c r="H37" s="101"/>
    </row>
    <row r="38" spans="2:8" s="29" customFormat="1" x14ac:dyDescent="0.3">
      <c r="B38" s="91" t="s">
        <v>105</v>
      </c>
      <c r="C38" s="91"/>
      <c r="D38" s="91"/>
      <c r="E38" s="91"/>
      <c r="F38" s="91"/>
      <c r="G38" s="91"/>
      <c r="H38" s="91"/>
    </row>
    <row r="39" spans="2:8" s="29" customFormat="1" x14ac:dyDescent="0.3">
      <c r="B39" s="92"/>
      <c r="C39" s="92"/>
      <c r="D39" s="92"/>
      <c r="E39" s="92"/>
      <c r="F39" s="92"/>
      <c r="G39" s="92"/>
      <c r="H39" s="92"/>
    </row>
  </sheetData>
  <mergeCells count="28">
    <mergeCell ref="B4:G4"/>
    <mergeCell ref="B6:H6"/>
    <mergeCell ref="B7:H7"/>
    <mergeCell ref="B8:H8"/>
    <mergeCell ref="B9:H9"/>
    <mergeCell ref="B10:H10"/>
    <mergeCell ref="C11:H11"/>
    <mergeCell ref="C12:H12"/>
    <mergeCell ref="C13:H13"/>
    <mergeCell ref="C14:H14"/>
    <mergeCell ref="C25:H25"/>
    <mergeCell ref="C15:H15"/>
    <mergeCell ref="C16:H16"/>
    <mergeCell ref="C17:H17"/>
    <mergeCell ref="C18:H18"/>
    <mergeCell ref="C19:H19"/>
    <mergeCell ref="C20:H20"/>
    <mergeCell ref="C21:H21"/>
    <mergeCell ref="C22:H22"/>
    <mergeCell ref="C23:H23"/>
    <mergeCell ref="C24:H24"/>
    <mergeCell ref="B38:H39"/>
    <mergeCell ref="C26:H26"/>
    <mergeCell ref="C27:H27"/>
    <mergeCell ref="C28:H28"/>
    <mergeCell ref="D29:E29"/>
    <mergeCell ref="G29:H29"/>
    <mergeCell ref="B31:H37"/>
  </mergeCells>
  <pageMargins left="0.70866141732283505" right="0.70866141732283505" top="0.74803149606299202" bottom="0.74803149606299202" header="0.31496062992126" footer="0.31496062992126"/>
  <pageSetup paperSize="9" scale="71" orientation="portrait" horizontalDpi="4294967294" verticalDpi="4294967294"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1</xdr:col>
                    <xdr:colOff>175260</xdr:colOff>
                    <xdr:row>6</xdr:row>
                    <xdr:rowOff>251460</xdr:rowOff>
                  </from>
                  <to>
                    <xdr:col>1</xdr:col>
                    <xdr:colOff>914400</xdr:colOff>
                    <xdr:row>8</xdr:row>
                    <xdr:rowOff>68580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1</xdr:col>
                    <xdr:colOff>175260</xdr:colOff>
                    <xdr:row>7</xdr:row>
                    <xdr:rowOff>228600</xdr:rowOff>
                  </from>
                  <to>
                    <xdr:col>1</xdr:col>
                    <xdr:colOff>914400</xdr:colOff>
                    <xdr:row>8</xdr:row>
                    <xdr:rowOff>297180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view="pageBreakPreview" topLeftCell="A10" zoomScaleNormal="100" zoomScaleSheetLayoutView="100" workbookViewId="0"/>
  </sheetViews>
  <sheetFormatPr defaultRowHeight="14.4" x14ac:dyDescent="0.3"/>
  <sheetData>
    <row r="1" spans="1:8" x14ac:dyDescent="0.3">
      <c r="A1" s="28"/>
    </row>
    <row r="5" spans="1:8" x14ac:dyDescent="0.3">
      <c r="B5" s="32" t="s">
        <v>96</v>
      </c>
      <c r="C5" s="32"/>
      <c r="D5" s="32"/>
    </row>
    <row r="6" spans="1:8" x14ac:dyDescent="0.3">
      <c r="B6" s="30">
        <v>1</v>
      </c>
    </row>
    <row r="7" spans="1:8" x14ac:dyDescent="0.3">
      <c r="B7" s="49" t="s">
        <v>97</v>
      </c>
      <c r="C7" s="50"/>
      <c r="D7" s="50"/>
      <c r="E7" s="50"/>
      <c r="F7" s="122"/>
      <c r="G7" s="123"/>
      <c r="H7" s="124"/>
    </row>
    <row r="8" spans="1:8" x14ac:dyDescent="0.3">
      <c r="B8" s="49" t="s">
        <v>98</v>
      </c>
      <c r="C8" s="50"/>
      <c r="D8" s="50"/>
      <c r="E8" s="50"/>
      <c r="F8" s="122"/>
      <c r="G8" s="123"/>
      <c r="H8" s="124"/>
    </row>
    <row r="9" spans="1:8" x14ac:dyDescent="0.3">
      <c r="B9" s="49" t="s">
        <v>99</v>
      </c>
      <c r="C9" s="50"/>
      <c r="D9" s="50"/>
      <c r="E9" s="50"/>
      <c r="F9" s="122"/>
      <c r="G9" s="123"/>
      <c r="H9" s="124"/>
    </row>
    <row r="10" spans="1:8" x14ac:dyDescent="0.3">
      <c r="B10" s="49" t="s">
        <v>100</v>
      </c>
      <c r="C10" s="50"/>
      <c r="D10" s="50"/>
      <c r="E10" s="50"/>
      <c r="F10" s="122"/>
      <c r="G10" s="123"/>
      <c r="H10" s="124"/>
    </row>
    <row r="11" spans="1:8" x14ac:dyDescent="0.3">
      <c r="B11" s="49" t="s">
        <v>101</v>
      </c>
      <c r="C11" s="50"/>
      <c r="D11" s="50"/>
      <c r="E11" s="50"/>
      <c r="F11" s="122"/>
      <c r="G11" s="123"/>
      <c r="H11" s="124"/>
    </row>
    <row r="12" spans="1:8" x14ac:dyDescent="0.3">
      <c r="F12" s="34"/>
      <c r="G12" s="34"/>
      <c r="H12" s="34"/>
    </row>
    <row r="13" spans="1:8" x14ac:dyDescent="0.3">
      <c r="B13" s="31">
        <v>2</v>
      </c>
      <c r="F13" s="34"/>
      <c r="G13" s="34"/>
      <c r="H13" s="34"/>
    </row>
    <row r="14" spans="1:8" x14ac:dyDescent="0.3">
      <c r="B14" s="49" t="s">
        <v>97</v>
      </c>
      <c r="C14" s="50"/>
      <c r="D14" s="50"/>
      <c r="E14" s="50"/>
      <c r="F14" s="122"/>
      <c r="G14" s="123"/>
      <c r="H14" s="124"/>
    </row>
    <row r="15" spans="1:8" x14ac:dyDescent="0.3">
      <c r="B15" s="49" t="s">
        <v>98</v>
      </c>
      <c r="C15" s="50"/>
      <c r="D15" s="50"/>
      <c r="E15" s="50"/>
      <c r="F15" s="122"/>
      <c r="G15" s="123"/>
      <c r="H15" s="124"/>
    </row>
    <row r="16" spans="1:8" x14ac:dyDescent="0.3">
      <c r="B16" s="49" t="s">
        <v>99</v>
      </c>
      <c r="C16" s="50"/>
      <c r="D16" s="50"/>
      <c r="E16" s="50"/>
      <c r="F16" s="122"/>
      <c r="G16" s="123"/>
      <c r="H16" s="124"/>
    </row>
    <row r="17" spans="2:8" x14ac:dyDescent="0.3">
      <c r="B17" s="49" t="s">
        <v>100</v>
      </c>
      <c r="C17" s="50"/>
      <c r="D17" s="50"/>
      <c r="E17" s="50"/>
      <c r="F17" s="122"/>
      <c r="G17" s="123"/>
      <c r="H17" s="124"/>
    </row>
    <row r="18" spans="2:8" x14ac:dyDescent="0.3">
      <c r="B18" s="49" t="s">
        <v>101</v>
      </c>
      <c r="C18" s="50"/>
      <c r="D18" s="50"/>
      <c r="E18" s="50"/>
      <c r="F18" s="122"/>
      <c r="G18" s="123"/>
      <c r="H18" s="124"/>
    </row>
    <row r="19" spans="2:8" x14ac:dyDescent="0.3">
      <c r="F19" s="34"/>
      <c r="G19" s="34"/>
      <c r="H19" s="34"/>
    </row>
    <row r="20" spans="2:8" x14ac:dyDescent="0.3">
      <c r="B20" s="31">
        <v>3</v>
      </c>
      <c r="F20" s="34"/>
      <c r="G20" s="34"/>
      <c r="H20" s="34"/>
    </row>
    <row r="21" spans="2:8" x14ac:dyDescent="0.3">
      <c r="B21" s="49" t="s">
        <v>97</v>
      </c>
      <c r="C21" s="50"/>
      <c r="D21" s="50"/>
      <c r="E21" s="50"/>
      <c r="F21" s="122"/>
      <c r="G21" s="123"/>
      <c r="H21" s="124"/>
    </row>
    <row r="22" spans="2:8" x14ac:dyDescent="0.3">
      <c r="B22" s="49" t="s">
        <v>98</v>
      </c>
      <c r="C22" s="50"/>
      <c r="D22" s="50"/>
      <c r="E22" s="50"/>
      <c r="F22" s="122"/>
      <c r="G22" s="123"/>
      <c r="H22" s="124"/>
    </row>
    <row r="23" spans="2:8" x14ac:dyDescent="0.3">
      <c r="B23" s="49" t="s">
        <v>99</v>
      </c>
      <c r="C23" s="50"/>
      <c r="D23" s="50"/>
      <c r="E23" s="50"/>
      <c r="F23" s="122"/>
      <c r="G23" s="123"/>
      <c r="H23" s="124"/>
    </row>
    <row r="24" spans="2:8" x14ac:dyDescent="0.3">
      <c r="B24" s="49" t="s">
        <v>100</v>
      </c>
      <c r="C24" s="50"/>
      <c r="D24" s="50"/>
      <c r="E24" s="50"/>
      <c r="F24" s="122"/>
      <c r="G24" s="123"/>
      <c r="H24" s="124"/>
    </row>
    <row r="25" spans="2:8" x14ac:dyDescent="0.3">
      <c r="B25" s="49" t="s">
        <v>101</v>
      </c>
      <c r="C25" s="50"/>
      <c r="D25" s="50"/>
      <c r="E25" s="50"/>
      <c r="F25" s="122"/>
      <c r="G25" s="123"/>
      <c r="H25" s="124"/>
    </row>
    <row r="26" spans="2:8" x14ac:dyDescent="0.3">
      <c r="F26" s="34"/>
      <c r="G26" s="34"/>
      <c r="H26" s="34"/>
    </row>
    <row r="27" spans="2:8" x14ac:dyDescent="0.3">
      <c r="B27" s="31">
        <v>4</v>
      </c>
      <c r="F27" s="34"/>
      <c r="G27" s="34"/>
      <c r="H27" s="34"/>
    </row>
    <row r="28" spans="2:8" x14ac:dyDescent="0.3">
      <c r="B28" s="49" t="s">
        <v>97</v>
      </c>
      <c r="C28" s="50"/>
      <c r="D28" s="50"/>
      <c r="E28" s="50"/>
      <c r="F28" s="122"/>
      <c r="G28" s="123"/>
      <c r="H28" s="124"/>
    </row>
    <row r="29" spans="2:8" x14ac:dyDescent="0.3">
      <c r="B29" s="49" t="s">
        <v>98</v>
      </c>
      <c r="C29" s="50"/>
      <c r="D29" s="50"/>
      <c r="E29" s="50"/>
      <c r="F29" s="122"/>
      <c r="G29" s="123"/>
      <c r="H29" s="124"/>
    </row>
    <row r="30" spans="2:8" x14ac:dyDescent="0.3">
      <c r="B30" s="49" t="s">
        <v>99</v>
      </c>
      <c r="C30" s="50"/>
      <c r="D30" s="50"/>
      <c r="E30" s="50"/>
      <c r="F30" s="122"/>
      <c r="G30" s="123"/>
      <c r="H30" s="124"/>
    </row>
    <row r="31" spans="2:8" x14ac:dyDescent="0.3">
      <c r="B31" s="49" t="s">
        <v>100</v>
      </c>
      <c r="C31" s="50"/>
      <c r="D31" s="50"/>
      <c r="E31" s="50"/>
      <c r="F31" s="122"/>
      <c r="G31" s="123"/>
      <c r="H31" s="124"/>
    </row>
    <row r="32" spans="2:8" x14ac:dyDescent="0.3">
      <c r="B32" s="49" t="s">
        <v>101</v>
      </c>
      <c r="C32" s="50"/>
      <c r="D32" s="50"/>
      <c r="E32" s="50"/>
      <c r="F32" s="122"/>
      <c r="G32" s="123"/>
      <c r="H32" s="124"/>
    </row>
  </sheetData>
  <mergeCells count="40">
    <mergeCell ref="B7:E7"/>
    <mergeCell ref="B8:E8"/>
    <mergeCell ref="B9:E9"/>
    <mergeCell ref="B10:E10"/>
    <mergeCell ref="B11:E11"/>
    <mergeCell ref="B14:E14"/>
    <mergeCell ref="B15:E15"/>
    <mergeCell ref="B16:E16"/>
    <mergeCell ref="B17:E17"/>
    <mergeCell ref="B18:E18"/>
    <mergeCell ref="F7:H7"/>
    <mergeCell ref="F8:H8"/>
    <mergeCell ref="F9:H9"/>
    <mergeCell ref="F10:H10"/>
    <mergeCell ref="F11:H11"/>
    <mergeCell ref="F14:H14"/>
    <mergeCell ref="F15:H15"/>
    <mergeCell ref="F16:H16"/>
    <mergeCell ref="F17:H17"/>
    <mergeCell ref="F18:H18"/>
    <mergeCell ref="B24:E24"/>
    <mergeCell ref="F24:H24"/>
    <mergeCell ref="B25:E25"/>
    <mergeCell ref="F25:H25"/>
    <mergeCell ref="B21:E21"/>
    <mergeCell ref="F21:H21"/>
    <mergeCell ref="B22:E22"/>
    <mergeCell ref="F22:H22"/>
    <mergeCell ref="B23:E23"/>
    <mergeCell ref="F23:H23"/>
    <mergeCell ref="B31:E31"/>
    <mergeCell ref="F31:H31"/>
    <mergeCell ref="B32:E32"/>
    <mergeCell ref="F32:H32"/>
    <mergeCell ref="B28:E28"/>
    <mergeCell ref="F28:H28"/>
    <mergeCell ref="B29:E29"/>
    <mergeCell ref="F29:H29"/>
    <mergeCell ref="B30:E30"/>
    <mergeCell ref="F30:H30"/>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4"/>
  <sheetViews>
    <sheetView view="pageBreakPreview" topLeftCell="A46" zoomScaleNormal="100" zoomScaleSheetLayoutView="100" workbookViewId="0">
      <selection activeCell="A61" sqref="A61"/>
    </sheetView>
  </sheetViews>
  <sheetFormatPr defaultColWidth="8.88671875" defaultRowHeight="14.4" x14ac:dyDescent="0.3"/>
  <cols>
    <col min="1" max="1" width="88.6640625" customWidth="1"/>
  </cols>
  <sheetData>
    <row r="1" spans="1:1" ht="14.4" customHeight="1" x14ac:dyDescent="0.3">
      <c r="A1" s="125" t="s">
        <v>108</v>
      </c>
    </row>
    <row r="2" spans="1:1" x14ac:dyDescent="0.3">
      <c r="A2" s="125"/>
    </row>
    <row r="3" spans="1:1" x14ac:dyDescent="0.3">
      <c r="A3" s="125"/>
    </row>
    <row r="4" spans="1:1" x14ac:dyDescent="0.3">
      <c r="A4" s="125"/>
    </row>
    <row r="5" spans="1:1" x14ac:dyDescent="0.3">
      <c r="A5" s="125"/>
    </row>
    <row r="6" spans="1:1" x14ac:dyDescent="0.3">
      <c r="A6" s="125"/>
    </row>
    <row r="7" spans="1:1" x14ac:dyDescent="0.3">
      <c r="A7" s="125"/>
    </row>
    <row r="8" spans="1:1" x14ac:dyDescent="0.3">
      <c r="A8" s="125"/>
    </row>
    <row r="9" spans="1:1" x14ac:dyDescent="0.3">
      <c r="A9" s="125"/>
    </row>
    <row r="10" spans="1:1" x14ac:dyDescent="0.3">
      <c r="A10" s="125"/>
    </row>
    <row r="11" spans="1:1" x14ac:dyDescent="0.3">
      <c r="A11" s="125"/>
    </row>
    <row r="12" spans="1:1" x14ac:dyDescent="0.3">
      <c r="A12" s="125"/>
    </row>
    <row r="13" spans="1:1" x14ac:dyDescent="0.3">
      <c r="A13" s="125"/>
    </row>
    <row r="14" spans="1:1" x14ac:dyDescent="0.3">
      <c r="A14" s="125"/>
    </row>
    <row r="15" spans="1:1" x14ac:dyDescent="0.3">
      <c r="A15" s="125"/>
    </row>
    <row r="16" spans="1:1" x14ac:dyDescent="0.3">
      <c r="A16" s="125"/>
    </row>
    <row r="17" spans="1:1" x14ac:dyDescent="0.3">
      <c r="A17" s="125"/>
    </row>
    <row r="18" spans="1:1" x14ac:dyDescent="0.3">
      <c r="A18" s="125"/>
    </row>
    <row r="19" spans="1:1" x14ac:dyDescent="0.3">
      <c r="A19" s="125"/>
    </row>
    <row r="20" spans="1:1" x14ac:dyDescent="0.3">
      <c r="A20" s="125"/>
    </row>
    <row r="21" spans="1:1" x14ac:dyDescent="0.3">
      <c r="A21" s="125"/>
    </row>
    <row r="22" spans="1:1" x14ac:dyDescent="0.3">
      <c r="A22" s="125"/>
    </row>
    <row r="23" spans="1:1" x14ac:dyDescent="0.3">
      <c r="A23" s="125"/>
    </row>
    <row r="24" spans="1:1" x14ac:dyDescent="0.3">
      <c r="A24" s="125"/>
    </row>
    <row r="25" spans="1:1" x14ac:dyDescent="0.3">
      <c r="A25" s="125"/>
    </row>
    <row r="26" spans="1:1" x14ac:dyDescent="0.3">
      <c r="A26" s="125"/>
    </row>
    <row r="27" spans="1:1" x14ac:dyDescent="0.3">
      <c r="A27" s="125"/>
    </row>
    <row r="28" spans="1:1" x14ac:dyDescent="0.3">
      <c r="A28" s="125"/>
    </row>
    <row r="29" spans="1:1" x14ac:dyDescent="0.3">
      <c r="A29" s="125"/>
    </row>
    <row r="30" spans="1:1" x14ac:dyDescent="0.3">
      <c r="A30" s="125"/>
    </row>
    <row r="31" spans="1:1" x14ac:dyDescent="0.3">
      <c r="A31" s="125"/>
    </row>
    <row r="32" spans="1:1" x14ac:dyDescent="0.3">
      <c r="A32" s="125"/>
    </row>
    <row r="33" spans="1:1" x14ac:dyDescent="0.3">
      <c r="A33" s="125"/>
    </row>
    <row r="34" spans="1:1" x14ac:dyDescent="0.3">
      <c r="A34" s="125"/>
    </row>
    <row r="35" spans="1:1" x14ac:dyDescent="0.3">
      <c r="A35" s="125"/>
    </row>
    <row r="36" spans="1:1" x14ac:dyDescent="0.3">
      <c r="A36" s="125"/>
    </row>
    <row r="37" spans="1:1" x14ac:dyDescent="0.3">
      <c r="A37" s="125"/>
    </row>
    <row r="38" spans="1:1" x14ac:dyDescent="0.3">
      <c r="A38" s="125"/>
    </row>
    <row r="39" spans="1:1" x14ac:dyDescent="0.3">
      <c r="A39" s="125"/>
    </row>
    <row r="40" spans="1:1" x14ac:dyDescent="0.3">
      <c r="A40" s="125"/>
    </row>
    <row r="41" spans="1:1" x14ac:dyDescent="0.3">
      <c r="A41" s="125"/>
    </row>
    <row r="42" spans="1:1" x14ac:dyDescent="0.3">
      <c r="A42" s="125"/>
    </row>
    <row r="43" spans="1:1" x14ac:dyDescent="0.3">
      <c r="A43" s="125"/>
    </row>
    <row r="44" spans="1:1" x14ac:dyDescent="0.3">
      <c r="A44" s="125"/>
    </row>
    <row r="45" spans="1:1" x14ac:dyDescent="0.3">
      <c r="A45" s="125"/>
    </row>
    <row r="46" spans="1:1" x14ac:dyDescent="0.3">
      <c r="A46" s="125"/>
    </row>
    <row r="47" spans="1:1" x14ac:dyDescent="0.3">
      <c r="A47" s="125"/>
    </row>
    <row r="48" spans="1:1" x14ac:dyDescent="0.3">
      <c r="A48" s="125"/>
    </row>
    <row r="49" spans="1:1" x14ac:dyDescent="0.3">
      <c r="A49" s="125"/>
    </row>
    <row r="50" spans="1:1" x14ac:dyDescent="0.3">
      <c r="A50" s="125"/>
    </row>
    <row r="51" spans="1:1" x14ac:dyDescent="0.3">
      <c r="A51" s="125"/>
    </row>
    <row r="52" spans="1:1" x14ac:dyDescent="0.3">
      <c r="A52" s="125"/>
    </row>
    <row r="53" spans="1:1" x14ac:dyDescent="0.3">
      <c r="A53" s="125"/>
    </row>
    <row r="54" spans="1:1" x14ac:dyDescent="0.3">
      <c r="A54" s="125"/>
    </row>
    <row r="55" spans="1:1" x14ac:dyDescent="0.3">
      <c r="A55" s="125"/>
    </row>
    <row r="56" spans="1:1" x14ac:dyDescent="0.3">
      <c r="A56" s="125"/>
    </row>
    <row r="57" spans="1:1" x14ac:dyDescent="0.3">
      <c r="A57" s="125"/>
    </row>
    <row r="58" spans="1:1" x14ac:dyDescent="0.3">
      <c r="A58" s="125"/>
    </row>
    <row r="59" spans="1:1" x14ac:dyDescent="0.3">
      <c r="A59" s="125"/>
    </row>
    <row r="60" spans="1:1" x14ac:dyDescent="0.3">
      <c r="A60" s="24" t="s">
        <v>66</v>
      </c>
    </row>
    <row r="61" spans="1:1" ht="41.4" x14ac:dyDescent="0.3">
      <c r="A61" s="25" t="s">
        <v>67</v>
      </c>
    </row>
    <row r="62" spans="1:1" ht="27.6" x14ac:dyDescent="0.3">
      <c r="A62" s="26" t="s">
        <v>68</v>
      </c>
    </row>
    <row r="63" spans="1:1" x14ac:dyDescent="0.3">
      <c r="A63" s="33" t="s">
        <v>107</v>
      </c>
    </row>
    <row r="64" spans="1:1" x14ac:dyDescent="0.3">
      <c r="A64" s="25" t="s">
        <v>77</v>
      </c>
    </row>
    <row r="65" spans="1:1" ht="27.6" x14ac:dyDescent="0.3">
      <c r="A65" s="25" t="s">
        <v>78</v>
      </c>
    </row>
    <row r="66" spans="1:1" ht="27.6" x14ac:dyDescent="0.3">
      <c r="A66" s="25" t="s">
        <v>69</v>
      </c>
    </row>
    <row r="67" spans="1:1" x14ac:dyDescent="0.3">
      <c r="A67" s="25"/>
    </row>
    <row r="68" spans="1:1" ht="27.6" x14ac:dyDescent="0.3">
      <c r="A68" s="25" t="s">
        <v>70</v>
      </c>
    </row>
    <row r="69" spans="1:1" ht="27.6" x14ac:dyDescent="0.3">
      <c r="A69" s="25" t="s">
        <v>71</v>
      </c>
    </row>
    <row r="70" spans="1:1" x14ac:dyDescent="0.3">
      <c r="A70" s="27" t="s">
        <v>72</v>
      </c>
    </row>
    <row r="71" spans="1:1" ht="55.2" x14ac:dyDescent="0.3">
      <c r="A71" s="28" t="s">
        <v>73</v>
      </c>
    </row>
    <row r="72" spans="1:1" ht="72" x14ac:dyDescent="0.3">
      <c r="A72" s="27" t="s">
        <v>74</v>
      </c>
    </row>
    <row r="73" spans="1:1" ht="28.8" x14ac:dyDescent="0.3">
      <c r="A73" s="27" t="s">
        <v>75</v>
      </c>
    </row>
    <row r="74" spans="1:1" ht="27.6" x14ac:dyDescent="0.3">
      <c r="A74" s="25" t="s">
        <v>76</v>
      </c>
    </row>
  </sheetData>
  <mergeCells count="1">
    <mergeCell ref="A1:A59"/>
  </mergeCells>
  <printOptions horizontalCentered="1"/>
  <pageMargins left="0.70866141732283472" right="0.70866141732283472" top="0.74803149606299213" bottom="0.74803149606299213" header="0.31496062992125984" footer="0.31496062992125984"/>
  <pageSetup paperSize="9" scale="5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election activeCell="A10" sqref="A10"/>
    </sheetView>
  </sheetViews>
  <sheetFormatPr defaultRowHeight="14.4" x14ac:dyDescent="0.3"/>
  <cols>
    <col min="1" max="1" width="22.6640625" customWidth="1"/>
    <col min="3" max="3" width="13.88671875" bestFit="1" customWidth="1"/>
    <col min="8" max="8" width="43.88671875" bestFit="1" customWidth="1"/>
    <col min="10" max="10" width="9.88671875" bestFit="1" customWidth="1"/>
  </cols>
  <sheetData>
    <row r="1" spans="1:10" x14ac:dyDescent="0.3">
      <c r="A1" t="s">
        <v>20</v>
      </c>
      <c r="C1" t="s">
        <v>19</v>
      </c>
      <c r="E1" t="s">
        <v>21</v>
      </c>
      <c r="H1" t="s">
        <v>17</v>
      </c>
      <c r="I1" t="s">
        <v>18</v>
      </c>
      <c r="J1" t="s">
        <v>28</v>
      </c>
    </row>
    <row r="2" spans="1:10" x14ac:dyDescent="0.3">
      <c r="A2" t="s">
        <v>12</v>
      </c>
      <c r="C2" t="s">
        <v>15</v>
      </c>
      <c r="E2" t="s">
        <v>17</v>
      </c>
      <c r="H2" t="s">
        <v>22</v>
      </c>
      <c r="J2" t="s">
        <v>26</v>
      </c>
    </row>
    <row r="3" spans="1:10" x14ac:dyDescent="0.3">
      <c r="A3" t="s">
        <v>29</v>
      </c>
      <c r="C3" t="s">
        <v>16</v>
      </c>
      <c r="E3" t="s">
        <v>18</v>
      </c>
      <c r="H3" t="s">
        <v>23</v>
      </c>
      <c r="J3" t="s">
        <v>27</v>
      </c>
    </row>
    <row r="4" spans="1:10" x14ac:dyDescent="0.3">
      <c r="A4" t="s">
        <v>13</v>
      </c>
      <c r="H4" t="s">
        <v>30</v>
      </c>
    </row>
    <row r="5" spans="1:10" x14ac:dyDescent="0.3">
      <c r="A5" t="s">
        <v>60</v>
      </c>
      <c r="H5" t="s">
        <v>31</v>
      </c>
    </row>
    <row r="6" spans="1:10" x14ac:dyDescent="0.3">
      <c r="A6" t="s">
        <v>61</v>
      </c>
    </row>
    <row r="7" spans="1:10" x14ac:dyDescent="0.3">
      <c r="A7" t="s">
        <v>62</v>
      </c>
    </row>
    <row r="8" spans="1:10" x14ac:dyDescent="0.3">
      <c r="A8" t="s">
        <v>63</v>
      </c>
    </row>
    <row r="9" spans="1:10" x14ac:dyDescent="0.3">
      <c r="A9" t="s">
        <v>64</v>
      </c>
    </row>
    <row r="10" spans="1:10" x14ac:dyDescent="0.3">
      <c r="A10" t="s">
        <v>14</v>
      </c>
    </row>
    <row r="13" spans="1:10" x14ac:dyDescent="0.3">
      <c r="A13" t="s">
        <v>33</v>
      </c>
    </row>
    <row r="14" spans="1:10" x14ac:dyDescent="0.3">
      <c r="A14" t="s">
        <v>34</v>
      </c>
    </row>
    <row r="15" spans="1:10" x14ac:dyDescent="0.3">
      <c r="A15" t="s">
        <v>35</v>
      </c>
    </row>
    <row r="16" spans="1:10" x14ac:dyDescent="0.3">
      <c r="A16"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13</vt:i4>
      </vt:variant>
    </vt:vector>
  </HeadingPairs>
  <TitlesOfParts>
    <vt:vector size="18" baseType="lpstr">
      <vt:lpstr>Zahtev</vt:lpstr>
      <vt:lpstr>Dodatak za E-commerce</vt:lpstr>
      <vt:lpstr>Ostali zastupnici</vt:lpstr>
      <vt:lpstr>Pojmovi i informacije</vt:lpstr>
      <vt:lpstr>Radno</vt:lpstr>
      <vt:lpstr>Da</vt:lpstr>
      <vt:lpstr>DaNe</vt:lpstr>
      <vt:lpstr>Dokument</vt:lpstr>
      <vt:lpstr>Funkcioner</vt:lpstr>
      <vt:lpstr>Ne</vt:lpstr>
      <vt:lpstr>NeDa</vt:lpstr>
      <vt:lpstr>Osnov</vt:lpstr>
      <vt:lpstr>Osnovi</vt:lpstr>
      <vt:lpstr>Pečat</vt:lpstr>
      <vt:lpstr>'Dodatak za E-commerce'!Print_Area</vt:lpstr>
      <vt:lpstr>Zahtev!Print_Area</vt:lpstr>
      <vt:lpstr>Vlasnici</vt:lpstr>
      <vt:lpstr>Vlasnik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Veselin Martinović</dc:creator>
  <cp:lastModifiedBy>Tamara Ličina</cp:lastModifiedBy>
  <cp:lastPrinted>2024-03-04T14:13:01Z</cp:lastPrinted>
  <dcterms:created xsi:type="dcterms:W3CDTF">2021-09-20T07:55:25Z</dcterms:created>
  <dcterms:modified xsi:type="dcterms:W3CDTF">2025-07-09T13:38:08Z</dcterms:modified>
</cp:coreProperties>
</file>